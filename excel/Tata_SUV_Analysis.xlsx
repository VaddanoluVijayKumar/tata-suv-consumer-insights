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Demand_Profile" sheetId="2" state="visible" r:id="rId4"/>
    <sheet name="Powertrain_Transmission" sheetId="3" state="visible" r:id="rId5"/>
    <sheet name="Buying_Behaviour" sheetId="4" state="visible" r:id="rId6"/>
    <sheet name="Service_Experience" sheetId="5" state="visible" r:id="rId7"/>
    <sheet name="Segment_Scorecard" sheetId="6" state="visible" r:id="rId8"/>
    <sheet name="Data" sheetId="7" state="visible" r:id="rId9"/>
    <sheet name="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<sst xmlns="http://schemas.openxmlformats.org/spreadsheetml/2006/main" count="3387" uniqueCount="204">
  <si>
    <t xml:space="preserve">Tata SUV Consumer Behaviour - Executive Summary</t>
  </si>
  <si>
    <t xml:space="preserve">Hyderabad survey of 135 respondents. Every number on this sheet is a live formula.</t>
  </si>
  <si>
    <t xml:space="preserve">Respondents</t>
  </si>
  <si>
    <t xml:space="preserve">Prefer an EV</t>
  </si>
  <si>
    <t xml:space="preserve">Prefer automatic</t>
  </si>
  <si>
    <t xml:space="preserve">Finance with a loan</t>
  </si>
  <si>
    <t xml:space="preserve">Most popular model</t>
  </si>
  <si>
    <t xml:space="preserve">Largest complaint</t>
  </si>
  <si>
    <t xml:space="preserve">Key findings</t>
  </si>
  <si>
    <t xml:space="preserve">Read with care</t>
  </si>
  <si>
    <t xml:space="preserve">- Convenience sample of 135 respondents in Hyderabad: results are directional, not market-wide.</t>
  </si>
  <si>
    <t xml:space="preserve">- Dealer, complaint and service-information patterns are unusually clean; treat dealer-level results as indicative.</t>
  </si>
  <si>
    <t xml:space="preserve">- Model tiers and life-stage segments are analyst groupings (defined in the Data sheet and Notes).</t>
  </si>
  <si>
    <t xml:space="preserve">Demand &amp; Buyer Profile</t>
  </si>
  <si>
    <t xml:space="preserve">Which models draw interest, and who is interested in what. All figures are live formulas on the Data sheet.</t>
  </si>
  <si>
    <t xml:space="preserve">1. Model demand</t>
  </si>
  <si>
    <t xml:space="preserve">Model</t>
  </si>
  <si>
    <t xml:space="preserve">% of total</t>
  </si>
  <si>
    <t xml:space="preserve">Rank</t>
  </si>
  <si>
    <t xml:space="preserve">Nexon</t>
  </si>
  <si>
    <t xml:space="preserve">Punch</t>
  </si>
  <si>
    <t xml:space="preserve">Safari</t>
  </si>
  <si>
    <t xml:space="preserve">Curvv</t>
  </si>
  <si>
    <t xml:space="preserve">Harrier</t>
  </si>
  <si>
    <t xml:space="preserve">Sierra</t>
  </si>
  <si>
    <t xml:space="preserve">Total</t>
  </si>
  <si>
    <t xml:space="preserve">2. Model interest by age group (respondents)</t>
  </si>
  <si>
    <t xml:space="preserve">Age group</t>
  </si>
  <si>
    <t xml:space="preserve">Top model</t>
  </si>
  <si>
    <t xml:space="preserve">18-25</t>
  </si>
  <si>
    <t xml:space="preserve">26-35</t>
  </si>
  <si>
    <t xml:space="preserve">36-45</t>
  </si>
  <si>
    <t xml:space="preserve">46-55</t>
  </si>
  <si>
    <t xml:space="preserve">Above 55</t>
  </si>
  <si>
    <t xml:space="preserve">3. Model tier by income band (% of band)</t>
  </si>
  <si>
    <t xml:space="preserve">Income band</t>
  </si>
  <si>
    <t xml:space="preserve">Entry</t>
  </si>
  <si>
    <t xml:space="preserve">Compact</t>
  </si>
  <si>
    <t xml:space="preserve">Premium</t>
  </si>
  <si>
    <t xml:space="preserve">Below 50K</t>
  </si>
  <si>
    <t xml:space="preserve">50K-1L</t>
  </si>
  <si>
    <t xml:space="preserve">1L-2L</t>
  </si>
  <si>
    <t xml:space="preserve">Above 2L</t>
  </si>
  <si>
    <t xml:space="preserve">Tiers are an analyst grouping: Entry = Punch; Compact = Nexon, Curvv; Premium = Harrier, Safari, Sierra.</t>
  </si>
  <si>
    <t xml:space="preserve">Powertrain &amp; Transmission</t>
  </si>
  <si>
    <t xml:space="preserve">EV, fuel and automatic-transmission preferences by segment.</t>
  </si>
  <si>
    <t xml:space="preserve">1. EV share by age group</t>
  </si>
  <si>
    <t xml:space="preserve">EV choosers</t>
  </si>
  <si>
    <t xml:space="preserve">EV %</t>
  </si>
  <si>
    <t xml:space="preserve">2. EV share by income band</t>
  </si>
  <si>
    <t xml:space="preserve">3. Powertrain by model (respondents)</t>
  </si>
  <si>
    <t xml:space="preserve">EV</t>
  </si>
  <si>
    <t xml:space="preserve">Petrol</t>
  </si>
  <si>
    <t xml:space="preserve">Diesel</t>
  </si>
  <si>
    <t xml:space="preserve">CNG</t>
  </si>
  <si>
    <t xml:space="preserve">4. Automatic transmission share</t>
  </si>
  <si>
    <t xml:space="preserve">Dimension</t>
  </si>
  <si>
    <t xml:space="preserve">Segment</t>
  </si>
  <si>
    <t xml:space="preserve">Automatic</t>
  </si>
  <si>
    <t xml:space="preserve">Automatic %</t>
  </si>
  <si>
    <t xml:space="preserve">Purpose</t>
  </si>
  <si>
    <t xml:space="preserve">City Commute</t>
  </si>
  <si>
    <t xml:space="preserve">Highway/Long Distance</t>
  </si>
  <si>
    <t xml:space="preserve">Overlap check: Highway/Long Distance buyers who chose a Premium-tier model</t>
  </si>
  <si>
    <t xml:space="preserve">Highway/Long Distance buyers in total</t>
  </si>
  <si>
    <t xml:space="preserve">If these two numbers are equal, purpose and model tier overlap completely, so the effect of purpose cannot be separated from the effect of model.</t>
  </si>
  <si>
    <t xml:space="preserve">Buying Behaviour</t>
  </si>
  <si>
    <t xml:space="preserve">Payment modes and research channels by segment.</t>
  </si>
  <si>
    <t xml:space="preserve">1. Payment mode by income band</t>
  </si>
  <si>
    <t xml:space="preserve">Loan</t>
  </si>
  <si>
    <t xml:space="preserve">Digital</t>
  </si>
  <si>
    <t xml:space="preserve">Cheque</t>
  </si>
  <si>
    <t xml:space="preserve">Loan %</t>
  </si>
  <si>
    <t xml:space="preserve">2. Payment mode by age group</t>
  </si>
  <si>
    <t xml:space="preserve">3. Research channel by age group</t>
  </si>
  <si>
    <t xml:space="preserve">Website</t>
  </si>
  <si>
    <t xml:space="preserve">YouTube</t>
  </si>
  <si>
    <t xml:space="preserve">Word of Mouth</t>
  </si>
  <si>
    <t xml:space="preserve">Top channel</t>
  </si>
  <si>
    <t xml:space="preserve">Service &amp; Ownership Experience</t>
  </si>
  <si>
    <t xml:space="preserve">Complaint themes by dealer, complaint ranking, and service-information awareness.</t>
  </si>
  <si>
    <t xml:space="preserve">1. Complaint theme by dealer</t>
  </si>
  <si>
    <t xml:space="preserve">Dealer</t>
  </si>
  <si>
    <t xml:space="preserve">Software</t>
  </si>
  <si>
    <t xml:space="preserve">Service</t>
  </si>
  <si>
    <t xml:space="preserve">Fit &amp; Finish</t>
  </si>
  <si>
    <t xml:space="preserve">Software %</t>
  </si>
  <si>
    <t xml:space="preserve">Service %</t>
  </si>
  <si>
    <t xml:space="preserve">Fit &amp; Finish %</t>
  </si>
  <si>
    <t xml:space="preserve">Tejaswi Motors</t>
  </si>
  <si>
    <t xml:space="preserve">Select Cars</t>
  </si>
  <si>
    <t xml:space="preserve">Venkataramana Motors</t>
  </si>
  <si>
    <t xml:space="preserve">Themes: Software = software stability + infotainment lag; Service = service response + parts availability; Fit &amp; Finish = panel gaps + plastic quality + fit and finish.</t>
  </si>
  <si>
    <t xml:space="preserve">2. Complaint ranking (Pareto)</t>
  </si>
  <si>
    <t xml:space="preserve">Complaint</t>
  </si>
  <si>
    <t xml:space="preserve">Theme</t>
  </si>
  <si>
    <t xml:space="preserve">Cumulative %</t>
  </si>
  <si>
    <t xml:space="preserve">Panel gaps</t>
  </si>
  <si>
    <t xml:space="preserve">Service response</t>
  </si>
  <si>
    <t xml:space="preserve">Service Competence &amp; Capacity</t>
  </si>
  <si>
    <t xml:space="preserve">Software stability</t>
  </si>
  <si>
    <t xml:space="preserve">Software Instability</t>
  </si>
  <si>
    <t xml:space="preserve">Plastic quality</t>
  </si>
  <si>
    <t xml:space="preserve">Parts availability</t>
  </si>
  <si>
    <t xml:space="preserve">Fit and finish</t>
  </si>
  <si>
    <t xml:space="preserve">Infotainment lag</t>
  </si>
  <si>
    <t xml:space="preserve">3. Respondents with no service information (brand trust)</t>
  </si>
  <si>
    <t xml:space="preserve">No service info</t>
  </si>
  <si>
    <t xml:space="preserve">% of dealer</t>
  </si>
  <si>
    <t xml:space="preserve">Segment Scorecard</t>
  </si>
  <si>
    <t xml:space="preserve">Five life-stage segments (defined by age group) compared on the main behaviours. Colour scale runs within each column.</t>
  </si>
  <si>
    <t xml:space="preserve">Life-stage segments</t>
  </si>
  <si>
    <t xml:space="preserve">Premium %</t>
  </si>
  <si>
    <t xml:space="preserve">Avg budget index</t>
  </si>
  <si>
    <t xml:space="preserve">Gen Z (18-25)</t>
  </si>
  <si>
    <t xml:space="preserve">Young professionals (26-35)</t>
  </si>
  <si>
    <t xml:space="preserve">Family builders (36-45)</t>
  </si>
  <si>
    <t xml:space="preserve">Pre-retirement (46-55)</t>
  </si>
  <si>
    <t xml:space="preserve">Seniors (55+)</t>
  </si>
  <si>
    <t xml:space="preserve">Avg budget index: 1 = Below 10L, 2 = 10L-18L, 3 = 18L-25L, 4 = Above 25L (Budget_Sort in the Data sheet).</t>
  </si>
  <si>
    <t xml:space="preserve">Segments with fewer than about 30 respondents are indicative only.</t>
  </si>
  <si>
    <t xml:space="preserve">Respondent_ID</t>
  </si>
  <si>
    <t xml:space="preserve">Gender</t>
  </si>
  <si>
    <t xml:space="preserve">Age_Group</t>
  </si>
  <si>
    <t xml:space="preserve">Age_Sort</t>
  </si>
  <si>
    <t xml:space="preserve">Occupation</t>
  </si>
  <si>
    <t xml:space="preserve">Income_Band</t>
  </si>
  <si>
    <t xml:space="preserve">Income_Sort</t>
  </si>
  <si>
    <t xml:space="preserve">Model_Interest</t>
  </si>
  <si>
    <t xml:space="preserve">Powertrain</t>
  </si>
  <si>
    <t xml:space="preserve">Transmission</t>
  </si>
  <si>
    <t xml:space="preserve">Budget_Band</t>
  </si>
  <si>
    <t xml:space="preserve">Budget_Sort</t>
  </si>
  <si>
    <t xml:space="preserve">Motivation_1</t>
  </si>
  <si>
    <t xml:space="preserve">Motivation_2</t>
  </si>
  <si>
    <t xml:space="preserve">Motivation_3</t>
  </si>
  <si>
    <t xml:space="preserve">Tech_Must_Have</t>
  </si>
  <si>
    <t xml:space="preserve">Info_Source</t>
  </si>
  <si>
    <t xml:space="preserve">Finance_Mode</t>
  </si>
  <si>
    <t xml:space="preserve">Purchase_Occasion</t>
  </si>
  <si>
    <t xml:space="preserve">Dealer_Area</t>
  </si>
  <si>
    <t xml:space="preserve">Dealer_Choice_Reason</t>
  </si>
  <si>
    <t xml:space="preserve">Resale_Expectation</t>
  </si>
  <si>
    <t xml:space="preserve">Service_Info_Known</t>
  </si>
  <si>
    <t xml:space="preserve">No_Info_Reason</t>
  </si>
  <si>
    <t xml:space="preserve">Ownership_Complaint</t>
  </si>
  <si>
    <t xml:space="preserve">Complaint_Theme</t>
  </si>
  <si>
    <t xml:space="preserve">Model_Tier</t>
  </si>
  <si>
    <t xml:space="preserve">Life_Stage</t>
  </si>
  <si>
    <t xml:space="preserve">Female</t>
  </si>
  <si>
    <t xml:space="preserve">Salaried</t>
  </si>
  <si>
    <t xml:space="preserve">Manual</t>
  </si>
  <si>
    <t xml:space="preserve">Below 10L</t>
  </si>
  <si>
    <t xml:space="preserve">Safety</t>
  </si>
  <si>
    <t xml:space="preserve">Ground Clearance</t>
  </si>
  <si>
    <t xml:space="preserve">Budget</t>
  </si>
  <si>
    <t xml:space="preserve">360 Camera</t>
  </si>
  <si>
    <t xml:space="preserve">Festival</t>
  </si>
  <si>
    <t xml:space="preserve">Moosapet</t>
  </si>
  <si>
    <t xml:space="preserve">Test Drive</t>
  </si>
  <si>
    <t xml:space="preserve">Yes</t>
  </si>
  <si>
    <t xml:space="preserve">Male</t>
  </si>
  <si>
    <t xml:space="preserve">Business</t>
  </si>
  <si>
    <t xml:space="preserve">Above 25L</t>
  </si>
  <si>
    <t xml:space="preserve">Hi-Tech</t>
  </si>
  <si>
    <t xml:space="preserve">Proximity</t>
  </si>
  <si>
    <t xml:space="preserve">No</t>
  </si>
  <si>
    <t xml:space="preserve">Sunroof</t>
  </si>
  <si>
    <t xml:space="preserve">Birthday</t>
  </si>
  <si>
    <t xml:space="preserve">Styling</t>
  </si>
  <si>
    <t xml:space="preserve">Tech</t>
  </si>
  <si>
    <t xml:space="preserve">Acti.ev Tech</t>
  </si>
  <si>
    <t xml:space="preserve">10L-18L</t>
  </si>
  <si>
    <t xml:space="preserve">Not recorded</t>
  </si>
  <si>
    <t xml:space="preserve">Reputation</t>
  </si>
  <si>
    <t xml:space="preserve">Homemaker</t>
  </si>
  <si>
    <t xml:space="preserve">Brand Trust</t>
  </si>
  <si>
    <t xml:space="preserve">18L-25L</t>
  </si>
  <si>
    <t xml:space="preserve">Spaciousness</t>
  </si>
  <si>
    <t xml:space="preserve">Status</t>
  </si>
  <si>
    <t xml:space="preserve">Anniversary</t>
  </si>
  <si>
    <t xml:space="preserve">Ventilated Seats</t>
  </si>
  <si>
    <t xml:space="preserve">Retired</t>
  </si>
  <si>
    <t xml:space="preserve">Notes, definitions and how to extend this workbook</t>
  </si>
  <si>
    <t xml:space="preserve">Sheets</t>
  </si>
  <si>
    <t xml:space="preserve">Executive_Summary: KPI tiles, eight formula-driven findings and two charts.</t>
  </si>
  <si>
    <t xml:space="preserve">Demand_Profile, Powertrain_Transmission, Buying_Behaviour, Service_Experience: analysis tables (COUNTIFS on the Data sheet) with charts.</t>
  </si>
  <si>
    <t xml:space="preserve">Segment_Scorecard: five life-stage segments compared on EV, automatic, loan and premium share.</t>
  </si>
  <si>
    <t xml:space="preserve">Data: cleaned survey (135 rows) plus two helper columns, Model_Tier and Life_Stage, that are formulas.</t>
  </si>
  <si>
    <t xml:space="preserve">Definitions</t>
  </si>
  <si>
    <t xml:space="preserve">Model_Tier: Entry = Punch; Compact = Nexon, Curvv; Premium = Harrier, Safari, Sierra (analyst grouping).</t>
  </si>
  <si>
    <t xml:space="preserve">Life_Stage: Gen Z 18-25; Young professionals 26-35; Family builders 36-45; Pre-retirement 46-55; Seniors 55+ (age-based labels).</t>
  </si>
  <si>
    <t xml:space="preserve">Complaint themes: Software = software stability + infotainment lag; Service = service response + parts availability; Fit &amp; Finish = panel gaps + plastic quality + fit and finish.</t>
  </si>
  <si>
    <t xml:space="preserve">Avg budget index: 1 = Below 10L, 2 = 10L-18L, 3 = 18L-25L, 4 = Above 25L.</t>
  </si>
  <si>
    <t xml:space="preserve">Row order on some tables (models, complaints) reflects the current counts. If you change the data, re-sort them.</t>
  </si>
  <si>
    <t xml:space="preserve">Add real PivotTables and slicers yourself in Excel (this is the skill interviewers test)</t>
  </si>
  <si>
    <t xml:space="preserve">1. Click any cell in the Data sheet &gt; Insert &gt; PivotTable &gt; New Worksheet.</t>
  </si>
  <si>
    <t xml:space="preserve">2. Pivot A: Rows = Age_Group, Columns = Powertrain, Values = Count of Respondent_ID, then Show Values As &gt; % of Row Total. Compare with Powertrain_Transmission.</t>
  </si>
  <si>
    <t xml:space="preserve">3. Pivot B: Rows = Dealer, Columns = Complaint_Theme, Values = Count of Respondent_ID. Compare with Service_Experience.</t>
  </si>
  <si>
    <t xml:space="preserve">4. Pivot C: Rows = Life_Stage, Values = Count of Respondent_ID and Average of Budget_Sort. Compare with Segment_Scorecard.</t>
  </si>
  <si>
    <t xml:space="preserve">5. PivotTable Analyze &gt; Insert Slicer: Gender, Income_Band, Dealer. Use Report Connections to link one slicer to all three pivots.</t>
  </si>
  <si>
    <t xml:space="preserve">6. Insert a PivotChart from Pivot A and place it next to the slicers as a one-page interactive view.</t>
  </si>
  <si>
    <t xml:space="preserve">Limitations</t>
  </si>
  <si>
    <t xml:space="preserve">Convenience sample; single city; single time point. Small segments (for example 55+, n=16) are indicative only.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</si>
</sst>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%"/>
    <numFmt numFmtId="168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8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EE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Respondents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Demand_Profile!B5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Demand_Profile!$A$6:$A$11</c:f>
              <c:strCache>
                <c:ptCount val="6"/>
                <c:pt idx="0">
                  <c:v>Nexon</c:v>
                </c:pt>
                <c:pt idx="1">
                  <c:v>Punch</c:v>
                </c:pt>
                <c:pt idx="2">
                  <c:v>Safari</c:v>
                </c:pt>
                <c:pt idx="3">
                  <c:v>Curvv</c:v>
                </c:pt>
                <c:pt idx="4">
                  <c:v>Harrier</c:v>
                </c:pt>
                <c:pt idx="5">
                  <c:v>Sierra</c:v>
                </c:pt>
              </c:strCache>
            </c:strRef>
          </c:cat>
          <c:val>
            <c:numRef>
              <c:f>Demand_Profile!$B$6:$B$11</c:f>
              <c:numCache>
                <c:formatCode>0</c:formatCode>
                <c:ptCount val="6"/>
                <c:pt idx="0">
                  <c:v>35</c:v>
                </c:pt>
                <c:pt idx="1">
                  <c:v>27</c:v>
                </c:pt>
                <c:pt idx="2">
                  <c:v>23</c:v>
                </c:pt>
                <c:pt idx="3">
                  <c:v>19</c:v>
                </c:pt>
                <c:pt idx="4">
                  <c:v>16</c:v>
                </c:pt>
                <c:pt idx="5">
                  <c:v>15</c:v>
                </c:pt>
              </c:numCache>
            </c:numRef>
          </c:val>
        </c:ser>
        <c:gapWidth val="150"/>
        <c:overlap val="0"/>
        <c:axId val="56960972"/>
        <c:axId val="50627048"/>
      </c:barChart>
      <c:catAx>
        <c:axId val="56960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27048"/>
        <c:crosses val="autoZero"/>
        <c:auto val="1"/>
        <c:lblAlgn val="ctr"/>
        <c:lblOffset val="100"/>
        <c:noMultiLvlLbl val="0"/>
      </c:catAx>
      <c:valAx>
        <c:axId val="50627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60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 share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Powertrain_Transmission!D5</c:f>
              <c:strCache>
                <c:ptCount val="1"/>
                <c:pt idx="0">
                  <c:v>EV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Powertrain_Transmission!$A$6:$A$10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Powertrain_Transmission!$D$6:$D$10</c:f>
              <c:numCache>
                <c:formatCode>0.0%</c:formatCode>
                <c:ptCount val="5"/>
                <c:pt idx="0">
                  <c:v>0.225806451612903</c:v>
                </c:pt>
                <c:pt idx="1">
                  <c:v>0.5</c:v>
                </c:pt>
                <c:pt idx="2">
                  <c:v>0.148148148148148</c:v>
                </c:pt>
                <c:pt idx="3">
                  <c:v>0.157894736842105</c:v>
                </c:pt>
                <c:pt idx="4">
                  <c:v>0.4375</c:v>
                </c:pt>
              </c:numCache>
            </c:numRef>
          </c:val>
        </c:ser>
        <c:gapWidth val="150"/>
        <c:overlap val="0"/>
        <c:axId val="91360123"/>
        <c:axId val="36328164"/>
      </c:barChart>
      <c:catAx>
        <c:axId val="91360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28164"/>
        <c:crosses val="autoZero"/>
        <c:auto val="1"/>
        <c:lblAlgn val="ctr"/>
        <c:lblOffset val="100"/>
        <c:noMultiLvlLbl val="0"/>
      </c:catAx>
      <c:valAx>
        <c:axId val="36328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601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Respondents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Demand_Profile!B5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Demand_Profile!$A$6:$A$11</c:f>
              <c:strCache>
                <c:ptCount val="6"/>
                <c:pt idx="0">
                  <c:v>Nexon</c:v>
                </c:pt>
                <c:pt idx="1">
                  <c:v>Punch</c:v>
                </c:pt>
                <c:pt idx="2">
                  <c:v>Safari</c:v>
                </c:pt>
                <c:pt idx="3">
                  <c:v>Curvv</c:v>
                </c:pt>
                <c:pt idx="4">
                  <c:v>Harrier</c:v>
                </c:pt>
                <c:pt idx="5">
                  <c:v>Sierra</c:v>
                </c:pt>
              </c:strCache>
            </c:strRef>
          </c:cat>
          <c:val>
            <c:numRef>
              <c:f>Demand_Profile!$B$6:$B$11</c:f>
              <c:numCache>
                <c:formatCode>0</c:formatCode>
                <c:ptCount val="6"/>
                <c:pt idx="0">
                  <c:v>35</c:v>
                </c:pt>
                <c:pt idx="1">
                  <c:v>27</c:v>
                </c:pt>
                <c:pt idx="2">
                  <c:v>23</c:v>
                </c:pt>
                <c:pt idx="3">
                  <c:v>19</c:v>
                </c:pt>
                <c:pt idx="4">
                  <c:v>16</c:v>
                </c:pt>
                <c:pt idx="5">
                  <c:v>15</c:v>
                </c:pt>
              </c:numCache>
            </c:numRef>
          </c:val>
        </c:ser>
        <c:gapWidth val="150"/>
        <c:overlap val="0"/>
        <c:axId val="39777774"/>
        <c:axId val="98484142"/>
      </c:barChart>
      <c:catAx>
        <c:axId val="39777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84142"/>
        <c:crosses val="autoZero"/>
        <c:auto val="1"/>
        <c:lblAlgn val="ctr"/>
        <c:lblOffset val="100"/>
        <c:noMultiLvlLbl val="0"/>
      </c:catAx>
      <c:valAx>
        <c:axId val="984841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77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interest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Demand_Profile!B21</c:f>
              <c:strCache>
                <c:ptCount val="1"/>
                <c:pt idx="0">
                  <c:v>Nexon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Demand_Profile!$B$22:$B$26</c:f>
              <c:numCache>
                <c:formatCode>0</c:formatCode>
                <c:ptCount val="5"/>
                <c:pt idx="0">
                  <c:v>6</c:v>
                </c:pt>
                <c:pt idx="1">
                  <c:v>20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Demand_Profile!C21</c:f>
              <c:strCache>
                <c:ptCount val="1"/>
                <c:pt idx="0">
                  <c:v>Punch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Demand_Profile!$C$22:$C$26</c:f>
              <c:numCache>
                <c:formatCode>0</c:formatCode>
                <c:ptCount val="5"/>
                <c:pt idx="0">
                  <c:v>16</c:v>
                </c:pt>
                <c:pt idx="1">
                  <c:v>4</c:v>
                </c:pt>
                <c:pt idx="2">
                  <c:v>5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ser>
          <c:idx val="2"/>
          <c:order val="2"/>
          <c:tx>
            <c:strRef>
              <c:f>Demand_Profile!D21</c:f>
              <c:strCache>
                <c:ptCount val="1"/>
                <c:pt idx="0">
                  <c:v>Safari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Demand_Profile!$D$22:$D$26</c:f>
              <c:numCache>
                <c:formatCode>0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11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</c:ser>
        <c:ser>
          <c:idx val="3"/>
          <c:order val="3"/>
          <c:tx>
            <c:strRef>
              <c:f>Demand_Profile!E21</c:f>
              <c:strCache>
                <c:ptCount val="1"/>
                <c:pt idx="0">
                  <c:v>Curvv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Demand_Profile!$E$22:$E$26</c:f>
              <c:numCache>
                <c:formatCode>0</c:formatCode>
                <c:ptCount val="5"/>
                <c:pt idx="0">
                  <c:v>6</c:v>
                </c:pt>
                <c:pt idx="1">
                  <c:v>7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ser>
          <c:idx val="4"/>
          <c:order val="4"/>
          <c:tx>
            <c:strRef>
              <c:f>Demand_Profile!F21</c:f>
              <c:strCache>
                <c:ptCount val="1"/>
                <c:pt idx="0">
                  <c:v>Harrier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Demand_Profile!$F$22:$F$26</c:f>
              <c:numCache>
                <c:formatCode>0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Demand_Profile!G21</c:f>
              <c:strCache>
                <c:ptCount val="1"/>
                <c:pt idx="0">
                  <c:v>Sierra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Demand_Profile!$G$22:$G$26</c:f>
              <c:numCache>
                <c:formatCode>0</c:formatCode>
                <c:ptCount val="5"/>
                <c:pt idx="0">
                  <c:v>2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90493831"/>
        <c:axId val="40910490"/>
      </c:barChart>
      <c:catAx>
        <c:axId val="90493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10490"/>
        <c:crosses val="autoZero"/>
        <c:auto val="1"/>
        <c:lblAlgn val="ctr"/>
        <c:lblOffset val="100"/>
        <c:noMultiLvlLbl val="0"/>
      </c:catAx>
      <c:valAx>
        <c:axId val="40910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93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tier mix by income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Demand_Profile!B37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Demand_Profile!$A$38:$A$41</c:f>
              <c:strCache>
                <c:ptCount val="4"/>
                <c:pt idx="0">
                  <c:v>Below 50K</c:v>
                </c:pt>
                <c:pt idx="1">
                  <c:v>50K-1L</c:v>
                </c:pt>
                <c:pt idx="2">
                  <c:v>1L-2L</c:v>
                </c:pt>
                <c:pt idx="3">
                  <c:v>Above 2L</c:v>
                </c:pt>
              </c:strCache>
            </c:strRef>
          </c:cat>
          <c:val>
            <c:numRef>
              <c:f>Demand_Profile!$B$38:$B$41</c:f>
              <c:numCache>
                <c:formatCode>0.0%</c:formatCode>
                <c:ptCount val="4"/>
                <c:pt idx="0">
                  <c:v>0.368421052631579</c:v>
                </c:pt>
                <c:pt idx="1">
                  <c:v>0.205128205128205</c:v>
                </c:pt>
                <c:pt idx="2">
                  <c:v>0.195652173913044</c:v>
                </c:pt>
                <c:pt idx="3">
                  <c:v>0.0967741935483871</c:v>
                </c:pt>
              </c:numCache>
            </c:numRef>
          </c:val>
        </c:ser>
        <c:ser>
          <c:idx val="1"/>
          <c:order val="1"/>
          <c:tx>
            <c:strRef>
              <c:f>Demand_Profile!C37</c:f>
              <c:strCache>
                <c:ptCount val="1"/>
                <c:pt idx="0">
                  <c:v>Compact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Demand_Profile!$A$38:$A$41</c:f>
              <c:strCache>
                <c:ptCount val="4"/>
                <c:pt idx="0">
                  <c:v>Below 50K</c:v>
                </c:pt>
                <c:pt idx="1">
                  <c:v>50K-1L</c:v>
                </c:pt>
                <c:pt idx="2">
                  <c:v>1L-2L</c:v>
                </c:pt>
                <c:pt idx="3">
                  <c:v>Above 2L</c:v>
                </c:pt>
              </c:strCache>
            </c:strRef>
          </c:cat>
          <c:val>
            <c:numRef>
              <c:f>Demand_Profile!$C$38:$C$41</c:f>
              <c:numCache>
                <c:formatCode>0.0%</c:formatCode>
                <c:ptCount val="4"/>
                <c:pt idx="0">
                  <c:v>0.210526315789474</c:v>
                </c:pt>
                <c:pt idx="1">
                  <c:v>0.564102564102564</c:v>
                </c:pt>
                <c:pt idx="2">
                  <c:v>0.456521739130435</c:v>
                </c:pt>
                <c:pt idx="3">
                  <c:v>0.225806451612903</c:v>
                </c:pt>
              </c:numCache>
            </c:numRef>
          </c:val>
        </c:ser>
        <c:ser>
          <c:idx val="2"/>
          <c:order val="2"/>
          <c:tx>
            <c:strRef>
              <c:f>Demand_Profile!D37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Demand_Profile!$A$38:$A$41</c:f>
              <c:strCache>
                <c:ptCount val="4"/>
                <c:pt idx="0">
                  <c:v>Below 50K</c:v>
                </c:pt>
                <c:pt idx="1">
                  <c:v>50K-1L</c:v>
                </c:pt>
                <c:pt idx="2">
                  <c:v>1L-2L</c:v>
                </c:pt>
                <c:pt idx="3">
                  <c:v>Above 2L</c:v>
                </c:pt>
              </c:strCache>
            </c:strRef>
          </c:cat>
          <c:val>
            <c:numRef>
              <c:f>Demand_Profile!$D$38:$D$41</c:f>
              <c:numCache>
                <c:formatCode>0.0%</c:formatCode>
                <c:ptCount val="4"/>
                <c:pt idx="0">
                  <c:v>0.421052631578947</c:v>
                </c:pt>
                <c:pt idx="1">
                  <c:v>0.230769230769231</c:v>
                </c:pt>
                <c:pt idx="2">
                  <c:v>0.347826086956522</c:v>
                </c:pt>
                <c:pt idx="3">
                  <c:v>0.67741935483871</c:v>
                </c:pt>
              </c:numCache>
            </c:numRef>
          </c:val>
        </c:ser>
        <c:gapWidth val="150"/>
        <c:overlap val="100"/>
        <c:axId val="39355807"/>
        <c:axId val="121047"/>
      </c:barChart>
      <c:catAx>
        <c:axId val="39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047"/>
        <c:crosses val="autoZero"/>
        <c:auto val="1"/>
        <c:lblAlgn val="ctr"/>
        <c:lblOffset val="100"/>
        <c:noMultiLvlLbl val="0"/>
      </c:catAx>
      <c:valAx>
        <c:axId val="12104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55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 share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Powertrain_Transmission!D5</c:f>
              <c:strCache>
                <c:ptCount val="1"/>
                <c:pt idx="0">
                  <c:v>EV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Powertrain_Transmission!$A$6:$A$10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Powertrain_Transmission!$D$6:$D$10</c:f>
              <c:numCache>
                <c:formatCode>0.0%</c:formatCode>
                <c:ptCount val="5"/>
                <c:pt idx="0">
                  <c:v>0.225806451612903</c:v>
                </c:pt>
                <c:pt idx="1">
                  <c:v>0.5</c:v>
                </c:pt>
                <c:pt idx="2">
                  <c:v>0.148148148148148</c:v>
                </c:pt>
                <c:pt idx="3">
                  <c:v>0.157894736842105</c:v>
                </c:pt>
                <c:pt idx="4">
                  <c:v>0.4375</c:v>
                </c:pt>
              </c:numCache>
            </c:numRef>
          </c:val>
        </c:ser>
        <c:gapWidth val="150"/>
        <c:overlap val="0"/>
        <c:axId val="52796050"/>
        <c:axId val="24385689"/>
      </c:barChart>
      <c:catAx>
        <c:axId val="52796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85689"/>
        <c:crosses val="autoZero"/>
        <c:auto val="1"/>
        <c:lblAlgn val="ctr"/>
        <c:lblOffset val="100"/>
        <c:noMultiLvlLbl val="0"/>
      </c:catAx>
      <c:valAx>
        <c:axId val="24385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960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 share by income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Powertrain_Transmission!D21</c:f>
              <c:strCache>
                <c:ptCount val="1"/>
                <c:pt idx="0">
                  <c:v>EV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Powertrain_Transmission!$A$22:$A$25</c:f>
              <c:strCache>
                <c:ptCount val="4"/>
                <c:pt idx="0">
                  <c:v>Below 50K</c:v>
                </c:pt>
                <c:pt idx="1">
                  <c:v>50K-1L</c:v>
                </c:pt>
                <c:pt idx="2">
                  <c:v>1L-2L</c:v>
                </c:pt>
                <c:pt idx="3">
                  <c:v>Above 2L</c:v>
                </c:pt>
              </c:strCache>
            </c:strRef>
          </c:cat>
          <c:val>
            <c:numRef>
              <c:f>Powertrain_Transmission!$D$22:$D$25</c:f>
              <c:numCache>
                <c:formatCode>0.0%</c:formatCode>
                <c:ptCount val="4"/>
                <c:pt idx="0">
                  <c:v>0.157894736842105</c:v>
                </c:pt>
                <c:pt idx="1">
                  <c:v>0.41025641025641</c:v>
                </c:pt>
                <c:pt idx="2">
                  <c:v>0.304347826086957</c:v>
                </c:pt>
                <c:pt idx="3">
                  <c:v>0.290322580645161</c:v>
                </c:pt>
              </c:numCache>
            </c:numRef>
          </c:val>
        </c:ser>
        <c:gapWidth val="150"/>
        <c:overlap val="0"/>
        <c:axId val="16280266"/>
        <c:axId val="6580072"/>
      </c:barChart>
      <c:catAx>
        <c:axId val="162802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0072"/>
        <c:crosses val="autoZero"/>
        <c:auto val="1"/>
        <c:lblAlgn val="ctr"/>
        <c:lblOffset val="100"/>
        <c:noMultiLvlLbl val="0"/>
      </c:catAx>
      <c:valAx>
        <c:axId val="6580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80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Powertrain mix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Powertrain_Transmission!B37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Powertrain_Transmission!$A$38:$A$43</c:f>
              <c:strCache>
                <c:ptCount val="6"/>
                <c:pt idx="0">
                  <c:v>Nexon</c:v>
                </c:pt>
                <c:pt idx="1">
                  <c:v>Punch</c:v>
                </c:pt>
                <c:pt idx="2">
                  <c:v>Safari</c:v>
                </c:pt>
                <c:pt idx="3">
                  <c:v>Curvv</c:v>
                </c:pt>
                <c:pt idx="4">
                  <c:v>Harrier</c:v>
                </c:pt>
                <c:pt idx="5">
                  <c:v>Sierra</c:v>
                </c:pt>
              </c:strCache>
            </c:strRef>
          </c:cat>
          <c:val>
            <c:numRef>
              <c:f>Powertrain_Transmission!$B$38:$B$43</c:f>
              <c:numCache>
                <c:formatCode>0</c:formatCode>
                <c:ptCount val="6"/>
                <c:pt idx="0">
                  <c:v>22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</c:ser>
        <c:ser>
          <c:idx val="1"/>
          <c:order val="1"/>
          <c:tx>
            <c:strRef>
              <c:f>Powertrain_Transmission!C37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Powertrain_Transmission!$A$38:$A$43</c:f>
              <c:strCache>
                <c:ptCount val="6"/>
                <c:pt idx="0">
                  <c:v>Nexon</c:v>
                </c:pt>
                <c:pt idx="1">
                  <c:v>Punch</c:v>
                </c:pt>
                <c:pt idx="2">
                  <c:v>Safari</c:v>
                </c:pt>
                <c:pt idx="3">
                  <c:v>Curvv</c:v>
                </c:pt>
                <c:pt idx="4">
                  <c:v>Harrier</c:v>
                </c:pt>
                <c:pt idx="5">
                  <c:v>Sierra</c:v>
                </c:pt>
              </c:strCache>
            </c:strRef>
          </c:cat>
          <c:val>
            <c:numRef>
              <c:f>Powertrain_Transmission!$C$38:$C$43</c:f>
              <c:numCache>
                <c:formatCode>0</c:formatCode>
                <c:ptCount val="6"/>
                <c:pt idx="0">
                  <c:v>7</c:v>
                </c:pt>
                <c:pt idx="1">
                  <c:v>15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ser>
          <c:idx val="2"/>
          <c:order val="2"/>
          <c:tx>
            <c:strRef>
              <c:f>Powertrain_Transmission!D37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Powertrain_Transmission!$A$38:$A$43</c:f>
              <c:strCache>
                <c:ptCount val="6"/>
                <c:pt idx="0">
                  <c:v>Nexon</c:v>
                </c:pt>
                <c:pt idx="1">
                  <c:v>Punch</c:v>
                </c:pt>
                <c:pt idx="2">
                  <c:v>Safari</c:v>
                </c:pt>
                <c:pt idx="3">
                  <c:v>Curvv</c:v>
                </c:pt>
                <c:pt idx="4">
                  <c:v>Harrier</c:v>
                </c:pt>
                <c:pt idx="5">
                  <c:v>Sierra</c:v>
                </c:pt>
              </c:strCache>
            </c:strRef>
          </c:cat>
          <c:val>
            <c:numRef>
              <c:f>Powertrain_Transmission!$D$38:$D$43</c:f>
              <c:numCache>
                <c:formatCode>0</c:formatCode>
                <c:ptCount val="6"/>
                <c:pt idx="0">
                  <c:v>4</c:v>
                </c:pt>
                <c:pt idx="1">
                  <c:v>5</c:v>
                </c:pt>
                <c:pt idx="2">
                  <c:v>13</c:v>
                </c:pt>
                <c:pt idx="3">
                  <c:v>2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</c:ser>
        <c:ser>
          <c:idx val="3"/>
          <c:order val="3"/>
          <c:tx>
            <c:strRef>
              <c:f>Powertrain_Transmission!E37</c:f>
              <c:strCache>
                <c:ptCount val="1"/>
                <c:pt idx="0">
                  <c:v>CNG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Powertrain_Transmission!$A$38:$A$43</c:f>
              <c:strCache>
                <c:ptCount val="6"/>
                <c:pt idx="0">
                  <c:v>Nexon</c:v>
                </c:pt>
                <c:pt idx="1">
                  <c:v>Punch</c:v>
                </c:pt>
                <c:pt idx="2">
                  <c:v>Safari</c:v>
                </c:pt>
                <c:pt idx="3">
                  <c:v>Curvv</c:v>
                </c:pt>
                <c:pt idx="4">
                  <c:v>Harrier</c:v>
                </c:pt>
                <c:pt idx="5">
                  <c:v>Sierra</c:v>
                </c:pt>
              </c:strCache>
            </c:strRef>
          </c:cat>
          <c:val>
            <c:numRef>
              <c:f>Powertrain_Transmission!$E$38:$E$43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150"/>
        <c:overlap val="100"/>
        <c:axId val="3068509"/>
        <c:axId val="55162128"/>
      </c:barChart>
      <c:catAx>
        <c:axId val="3068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62128"/>
        <c:crosses val="autoZero"/>
        <c:auto val="1"/>
        <c:lblAlgn val="ctr"/>
        <c:lblOffset val="100"/>
        <c:noMultiLvlLbl val="0"/>
      </c:catAx>
      <c:valAx>
        <c:axId val="55162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8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Automatic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Powertrain_Transmission!E53</c:f>
              <c:strCache>
                <c:ptCount val="1"/>
                <c:pt idx="0">
                  <c:v>Automatic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Powertrain_Transmission!$B$54:$B$60</c:f>
              <c:strCache>
                <c:ptCount val="7"/>
                <c:pt idx="0">
                  <c:v>City Commute</c:v>
                </c:pt>
                <c:pt idx="1">
                  <c:v>Highway/Long Distance</c:v>
                </c:pt>
                <c:pt idx="2">
                  <c:v>18-25</c:v>
                </c:pt>
                <c:pt idx="3">
                  <c:v>26-35</c:v>
                </c:pt>
                <c:pt idx="4">
                  <c:v>36-45</c:v>
                </c:pt>
                <c:pt idx="5">
                  <c:v>46-55</c:v>
                </c:pt>
                <c:pt idx="6">
                  <c:v>Above 55</c:v>
                </c:pt>
              </c:strCache>
            </c:strRef>
          </c:cat>
          <c:val>
            <c:numRef>
              <c:f>Powertrain_Transmission!$E$54:$E$60</c:f>
              <c:numCache>
                <c:formatCode>0.0%</c:formatCode>
                <c:ptCount val="7"/>
                <c:pt idx="0">
                  <c:v>0.382716049382716</c:v>
                </c:pt>
                <c:pt idx="1">
                  <c:v>0.851851851851852</c:v>
                </c:pt>
                <c:pt idx="2">
                  <c:v>0.451612903225806</c:v>
                </c:pt>
                <c:pt idx="3">
                  <c:v>0.452380952380952</c:v>
                </c:pt>
                <c:pt idx="4">
                  <c:v>0.703703703703704</c:v>
                </c:pt>
                <c:pt idx="5">
                  <c:v>0.789473684210526</c:v>
                </c:pt>
                <c:pt idx="6">
                  <c:v>0.625</c:v>
                </c:pt>
              </c:numCache>
            </c:numRef>
          </c:val>
        </c:ser>
        <c:gapWidth val="150"/>
        <c:overlap val="0"/>
        <c:axId val="76679841"/>
        <c:axId val="27620687"/>
      </c:barChart>
      <c:catAx>
        <c:axId val="76679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20687"/>
        <c:crosses val="autoZero"/>
        <c:auto val="1"/>
        <c:lblAlgn val="ctr"/>
        <c:lblOffset val="100"/>
        <c:noMultiLvlLbl val="0"/>
      </c:catAx>
      <c:valAx>
        <c:axId val="27620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79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share by income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Buying_Behaviour!F5</c:f>
              <c:strCache>
                <c:ptCount val="1"/>
                <c:pt idx="0">
                  <c:v>Loan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Buying_Behaviour!$A$6:$A$9</c:f>
              <c:strCache>
                <c:ptCount val="4"/>
                <c:pt idx="0">
                  <c:v>Below 50K</c:v>
                </c:pt>
                <c:pt idx="1">
                  <c:v>50K-1L</c:v>
                </c:pt>
                <c:pt idx="2">
                  <c:v>1L-2L</c:v>
                </c:pt>
                <c:pt idx="3">
                  <c:v>Above 2L</c:v>
                </c:pt>
              </c:strCache>
            </c:strRef>
          </c:cat>
          <c:val>
            <c:numRef>
              <c:f>Buying_Behaviour!$F$6:$F$9</c:f>
              <c:numCache>
                <c:formatCode>0.0%</c:formatCode>
                <c:ptCount val="4"/>
                <c:pt idx="0">
                  <c:v>0.736842105263158</c:v>
                </c:pt>
                <c:pt idx="1">
                  <c:v>0.846153846153846</c:v>
                </c:pt>
                <c:pt idx="2">
                  <c:v>0.673913043478261</c:v>
                </c:pt>
                <c:pt idx="3">
                  <c:v>0.709677419354839</c:v>
                </c:pt>
              </c:numCache>
            </c:numRef>
          </c:val>
        </c:ser>
        <c:gapWidth val="150"/>
        <c:overlap val="0"/>
        <c:axId val="76440513"/>
        <c:axId val="22666790"/>
      </c:barChart>
      <c:catAx>
        <c:axId val="76440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66790"/>
        <c:crosses val="autoZero"/>
        <c:auto val="1"/>
        <c:lblAlgn val="ctr"/>
        <c:lblOffset val="100"/>
        <c:noMultiLvlLbl val="0"/>
      </c:catAx>
      <c:valAx>
        <c:axId val="22666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40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mode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Buying_Behaviour!C21</c:f>
              <c:strCache>
                <c:ptCount val="1"/>
                <c:pt idx="0">
                  <c:v>Loan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Buying_Behaviour!$A$22:$A$26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Buying_Behaviour!$C$22:$C$26</c:f>
              <c:numCache>
                <c:formatCode>0</c:formatCode>
                <c:ptCount val="5"/>
                <c:pt idx="0">
                  <c:v>22</c:v>
                </c:pt>
                <c:pt idx="1">
                  <c:v>36</c:v>
                </c:pt>
                <c:pt idx="2">
                  <c:v>22</c:v>
                </c:pt>
                <c:pt idx="3">
                  <c:v>11</c:v>
                </c:pt>
                <c:pt idx="4">
                  <c:v>9</c:v>
                </c:pt>
              </c:numCache>
            </c:numRef>
          </c:val>
        </c:ser>
        <c:ser>
          <c:idx val="1"/>
          <c:order val="1"/>
          <c:tx>
            <c:strRef>
              <c:f>Buying_Behaviour!D21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Buying_Behaviour!$A$22:$A$26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Buying_Behaviour!$D$22:$D$26</c:f>
              <c:numCache>
                <c:formatCode>0</c:formatCode>
                <c:ptCount val="5"/>
                <c:pt idx="0">
                  <c:v>9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Buying_Behaviour!E21</c:f>
              <c:strCache>
                <c:ptCount val="1"/>
                <c:pt idx="0">
                  <c:v>Cheque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Buying_Behaviour!$A$22:$A$26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Buying_Behaviour!$E$22:$E$26</c:f>
              <c:numCache>
                <c:formatCode>0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</c:ser>
        <c:gapWidth val="150"/>
        <c:overlap val="100"/>
        <c:axId val="15674628"/>
        <c:axId val="16135821"/>
      </c:barChart>
      <c:catAx>
        <c:axId val="15674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35821"/>
        <c:crosses val="autoZero"/>
        <c:auto val="1"/>
        <c:lblAlgn val="ctr"/>
        <c:lblOffset val="100"/>
        <c:noMultiLvlLbl val="0"/>
      </c:catAx>
      <c:valAx>
        <c:axId val="16135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74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Research channel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Buying_Behaviour!C37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Buying_Behaviour!$A$38:$A$42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Buying_Behaviour!$C$38:$C$42</c:f>
              <c:numCache>
                <c:formatCode>0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</c:ser>
        <c:ser>
          <c:idx val="1"/>
          <c:order val="1"/>
          <c:tx>
            <c:strRef>
              <c:f>Buying_Behaviour!D37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Buying_Behaviour!$A$38:$A$42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Buying_Behaviour!$D$38:$D$42</c:f>
              <c:numCache>
                <c:formatCode>0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</c:ser>
        <c:ser>
          <c:idx val="2"/>
          <c:order val="2"/>
          <c:tx>
            <c:strRef>
              <c:f>Buying_Behaviour!E37</c:f>
              <c:strCache>
                <c:ptCount val="1"/>
                <c:pt idx="0">
                  <c:v>Word of Mouth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Buying_Behaviour!$A$38:$A$42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Above 55</c:v>
                </c:pt>
              </c:strCache>
            </c:strRef>
          </c:cat>
          <c:val>
            <c:numRef>
              <c:f>Buying_Behaviour!$E$38:$E$42</c:f>
              <c:numCache>
                <c:formatCode>0</c:formatCode>
                <c:ptCount val="5"/>
                <c:pt idx="0">
                  <c:v>13</c:v>
                </c:pt>
                <c:pt idx="1">
                  <c:v>16</c:v>
                </c:pt>
                <c:pt idx="2">
                  <c:v>12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gapWidth val="150"/>
        <c:overlap val="100"/>
        <c:axId val="16224226"/>
        <c:axId val="76790441"/>
      </c:barChart>
      <c:catAx>
        <c:axId val="16224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90441"/>
        <c:crosses val="autoZero"/>
        <c:auto val="1"/>
        <c:lblAlgn val="ctr"/>
        <c:lblOffset val="100"/>
        <c:noMultiLvlLbl val="0"/>
      </c:catAx>
      <c:valAx>
        <c:axId val="767904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24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Complaint theme by dealer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Service_Experience!C5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Service_Experience!$A$6:$A$8</c:f>
              <c:strCache>
                <c:ptCount val="3"/>
                <c:pt idx="0">
                  <c:v>Tejaswi Motors</c:v>
                </c:pt>
                <c:pt idx="1">
                  <c:v>Select Cars</c:v>
                </c:pt>
                <c:pt idx="2">
                  <c:v>Venkataramana Motors</c:v>
                </c:pt>
              </c:strCache>
            </c:strRef>
          </c:cat>
          <c:val>
            <c:numRef>
              <c:f>Service_Experience!$C$6:$C$8</c:f>
              <c:numCache>
                <c:formatCode>0</c:formatCode>
                <c:ptCount val="3"/>
                <c:pt idx="0">
                  <c:v>36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Service_Experience!D5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Service_Experience!$A$6:$A$8</c:f>
              <c:strCache>
                <c:ptCount val="3"/>
                <c:pt idx="0">
                  <c:v>Tejaswi Motors</c:v>
                </c:pt>
                <c:pt idx="1">
                  <c:v>Select Cars</c:v>
                </c:pt>
                <c:pt idx="2">
                  <c:v>Venkataramana Motors</c:v>
                </c:pt>
              </c:strCache>
            </c:strRef>
          </c:cat>
          <c:val>
            <c:numRef>
              <c:f>Service_Experience!$D$6:$D$8</c:f>
              <c:numCache>
                <c:formatCode>0</c:formatCode>
                <c:ptCount val="3"/>
                <c:pt idx="0">
                  <c:v>22</c:v>
                </c:pt>
                <c:pt idx="1">
                  <c:v>18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Service_Experience!E5</c:f>
              <c:strCache>
                <c:ptCount val="1"/>
                <c:pt idx="0">
                  <c:v>Fit &amp; Finish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Service_Experience!$A$6:$A$8</c:f>
              <c:strCache>
                <c:ptCount val="3"/>
                <c:pt idx="0">
                  <c:v>Tejaswi Motors</c:v>
                </c:pt>
                <c:pt idx="1">
                  <c:v>Select Cars</c:v>
                </c:pt>
                <c:pt idx="2">
                  <c:v>Venkataramana Motors</c:v>
                </c:pt>
              </c:strCache>
            </c:strRef>
          </c:cat>
          <c:val>
            <c:numRef>
              <c:f>Service_Experience!$E$6:$E$8</c:f>
              <c:numCache>
                <c:formatCode>0</c:formatCode>
                <c:ptCount val="3"/>
                <c:pt idx="0">
                  <c:v>0</c:v>
                </c:pt>
                <c:pt idx="1">
                  <c:v>24</c:v>
                </c:pt>
                <c:pt idx="2">
                  <c:v>35</c:v>
                </c:pt>
              </c:numCache>
            </c:numRef>
          </c:val>
        </c:ser>
        <c:gapWidth val="150"/>
        <c:overlap val="100"/>
        <c:axId val="34615317"/>
        <c:axId val="47129025"/>
      </c:barChart>
      <c:catAx>
        <c:axId val="34615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29025"/>
        <c:crosses val="autoZero"/>
        <c:auto val="1"/>
        <c:lblAlgn val="ctr"/>
        <c:lblOffset val="100"/>
        <c:noMultiLvlLbl val="0"/>
      </c:catAx>
      <c:valAx>
        <c:axId val="47129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15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Complaints ranked, with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Service_Experience!C21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Service_Experience!$A$22:$A$28</c:f>
              <c:strCache>
                <c:ptCount val="7"/>
                <c:pt idx="0">
                  <c:v>Panel gaps</c:v>
                </c:pt>
                <c:pt idx="1">
                  <c:v>Service response</c:v>
                </c:pt>
                <c:pt idx="2">
                  <c:v>Software stability</c:v>
                </c:pt>
                <c:pt idx="3">
                  <c:v>Plastic quality</c:v>
                </c:pt>
                <c:pt idx="4">
                  <c:v>Parts availability</c:v>
                </c:pt>
                <c:pt idx="5">
                  <c:v>Fit and finish</c:v>
                </c:pt>
                <c:pt idx="6">
                  <c:v>Infotainment lag</c:v>
                </c:pt>
              </c:strCache>
            </c:strRef>
          </c:cat>
          <c:val>
            <c:numRef>
              <c:f>Service_Experience!$C$22:$C$28</c:f>
              <c:numCache>
                <c:formatCode>0</c:formatCode>
                <c:ptCount val="7"/>
                <c:pt idx="0">
                  <c:v>24</c:v>
                </c:pt>
                <c:pt idx="1">
                  <c:v>22</c:v>
                </c:pt>
                <c:pt idx="2">
                  <c:v>22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</c:numCache>
            </c:numRef>
          </c:val>
        </c:ser>
        <c:gapWidth val="150"/>
        <c:overlap val="0"/>
        <c:axId val="4024053"/>
        <c:axId val="52975936"/>
      </c:barChart>
      <c:lineChart>
        <c:grouping val="standard"/>
        <c:varyColors val="0"/>
        <c:ser>
          <c:idx val="1"/>
          <c:order val="1"/>
          <c:tx>
            <c:strRef>
              <c:f>Service_Experience!E21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Service_Experience!$A$22:$A$28</c:f>
              <c:strCache>
                <c:ptCount val="7"/>
                <c:pt idx="0">
                  <c:v>Panel gaps</c:v>
                </c:pt>
                <c:pt idx="1">
                  <c:v>Service response</c:v>
                </c:pt>
                <c:pt idx="2">
                  <c:v>Software stability</c:v>
                </c:pt>
                <c:pt idx="3">
                  <c:v>Plastic quality</c:v>
                </c:pt>
                <c:pt idx="4">
                  <c:v>Parts availability</c:v>
                </c:pt>
                <c:pt idx="5">
                  <c:v>Fit and finish</c:v>
                </c:pt>
                <c:pt idx="6">
                  <c:v>Infotainment lag</c:v>
                </c:pt>
              </c:strCache>
            </c:strRef>
          </c:cat>
          <c:val>
            <c:numRef>
              <c:f>Service_Experience!$E$22:$E$28</c:f>
              <c:numCache>
                <c:formatCode>0.0%</c:formatCode>
                <c:ptCount val="7"/>
                <c:pt idx="0">
                  <c:v>0.177777777777778</c:v>
                </c:pt>
                <c:pt idx="1">
                  <c:v>0.340740740740741</c:v>
                </c:pt>
                <c:pt idx="2">
                  <c:v>0.503703703703704</c:v>
                </c:pt>
                <c:pt idx="3">
                  <c:v>0.651851851851852</c:v>
                </c:pt>
                <c:pt idx="4">
                  <c:v>0.785185185185185</c:v>
                </c:pt>
                <c:pt idx="5">
                  <c:v>0.896296296296296</c:v>
                </c:pt>
                <c:pt idx="6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663989"/>
        <c:axId val="80431672"/>
      </c:lineChart>
      <c:catAx>
        <c:axId val="4024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75936"/>
        <c:crosses val="autoZero"/>
        <c:auto val="1"/>
        <c:lblAlgn val="ctr"/>
        <c:lblOffset val="100"/>
        <c:noMultiLvlLbl val="0"/>
      </c:catAx>
      <c:valAx>
        <c:axId val="52975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4053"/>
        <c:crosses val="autoZero"/>
        <c:crossBetween val="between"/>
      </c:valAx>
      <c:catAx>
        <c:axId val="6266398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31672"/>
        <c:crosses val="autoZero"/>
        <c:auto val="1"/>
        <c:lblAlgn val="ctr"/>
        <c:lblOffset val="100"/>
        <c:noMultiLvlLbl val="0"/>
      </c:catAx>
      <c:valAx>
        <c:axId val="804316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6398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with no service information, by dealer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Service_Experience!D35</c:f>
              <c:strCache>
                <c:ptCount val="1"/>
                <c:pt idx="0">
                  <c:v>% of dealer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Service_Experience!$A$36:$A$38</c:f>
              <c:strCache>
                <c:ptCount val="3"/>
                <c:pt idx="0">
                  <c:v>Tejaswi Motors</c:v>
                </c:pt>
                <c:pt idx="1">
                  <c:v>Select Cars</c:v>
                </c:pt>
                <c:pt idx="2">
                  <c:v>Venkataramana Motors</c:v>
                </c:pt>
              </c:strCache>
            </c:strRef>
          </c:cat>
          <c:val>
            <c:numRef>
              <c:f>Service_Experience!$D$36:$D$38</c:f>
              <c:numCache>
                <c:formatCode>0.0%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24211528"/>
        <c:axId val="51174841"/>
      </c:barChart>
      <c:catAx>
        <c:axId val="2421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74841"/>
        <c:crosses val="autoZero"/>
        <c:auto val="1"/>
        <c:lblAlgn val="ctr"/>
        <c:lblOffset val="100"/>
        <c:noMultiLvlLbl val="0"/>
      </c:catAx>
      <c:valAx>
        <c:axId val="51174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11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EV, automatic, loan and premium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Segment_Scorecard!D5</c:f>
              <c:strCache>
                <c:ptCount val="1"/>
                <c:pt idx="0">
                  <c:v>EV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Segment_Scorecard!$A$6:$A$10</c:f>
              <c:strCache>
                <c:ptCount val="5"/>
                <c:pt idx="0">
                  <c:v>Gen Z (18-25)</c:v>
                </c:pt>
                <c:pt idx="1">
                  <c:v>Young professionals (26-35)</c:v>
                </c:pt>
                <c:pt idx="2">
                  <c:v>Family builders (36-45)</c:v>
                </c:pt>
                <c:pt idx="3">
                  <c:v>Pre-retirement (46-55)</c:v>
                </c:pt>
                <c:pt idx="4">
                  <c:v>Seniors (55+)</c:v>
                </c:pt>
              </c:strCache>
            </c:strRef>
          </c:cat>
          <c:val>
            <c:numRef>
              <c:f>Segment_Scorecard!$D$6:$D$10</c:f>
              <c:numCache>
                <c:formatCode>0.0%</c:formatCode>
                <c:ptCount val="5"/>
                <c:pt idx="0">
                  <c:v>0.225806451612903</c:v>
                </c:pt>
                <c:pt idx="1">
                  <c:v>0.5</c:v>
                </c:pt>
                <c:pt idx="2">
                  <c:v>0.148148148148148</c:v>
                </c:pt>
                <c:pt idx="3">
                  <c:v>0.157894736842105</c:v>
                </c:pt>
                <c:pt idx="4">
                  <c:v>0.4375</c:v>
                </c:pt>
              </c:numCache>
            </c:numRef>
          </c:val>
        </c:ser>
        <c:ser>
          <c:idx val="1"/>
          <c:order val="1"/>
          <c:tx>
            <c:strRef>
              <c:f>Segment_Scorecard!E5</c:f>
              <c:strCache>
                <c:ptCount val="1"/>
                <c:pt idx="0">
                  <c:v>Automatic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Segment_Scorecard!$A$6:$A$10</c:f>
              <c:strCache>
                <c:ptCount val="5"/>
                <c:pt idx="0">
                  <c:v>Gen Z (18-25)</c:v>
                </c:pt>
                <c:pt idx="1">
                  <c:v>Young professionals (26-35)</c:v>
                </c:pt>
                <c:pt idx="2">
                  <c:v>Family builders (36-45)</c:v>
                </c:pt>
                <c:pt idx="3">
                  <c:v>Pre-retirement (46-55)</c:v>
                </c:pt>
                <c:pt idx="4">
                  <c:v>Seniors (55+)</c:v>
                </c:pt>
              </c:strCache>
            </c:strRef>
          </c:cat>
          <c:val>
            <c:numRef>
              <c:f>Segment_Scorecard!$E$6:$E$10</c:f>
              <c:numCache>
                <c:formatCode>0.0%</c:formatCode>
                <c:ptCount val="5"/>
                <c:pt idx="0">
                  <c:v>0.451612903225806</c:v>
                </c:pt>
                <c:pt idx="1">
                  <c:v>0.452380952380952</c:v>
                </c:pt>
                <c:pt idx="2">
                  <c:v>0.703703703703704</c:v>
                </c:pt>
                <c:pt idx="3">
                  <c:v>0.789473684210526</c:v>
                </c:pt>
                <c:pt idx="4">
                  <c:v>0.625</c:v>
                </c:pt>
              </c:numCache>
            </c:numRef>
          </c:val>
        </c:ser>
        <c:ser>
          <c:idx val="2"/>
          <c:order val="2"/>
          <c:tx>
            <c:strRef>
              <c:f>Segment_Scorecard!F5</c:f>
              <c:strCache>
                <c:ptCount val="1"/>
                <c:pt idx="0">
                  <c:v>Loan %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Segment_Scorecard!$A$6:$A$10</c:f>
              <c:strCache>
                <c:ptCount val="5"/>
                <c:pt idx="0">
                  <c:v>Gen Z (18-25)</c:v>
                </c:pt>
                <c:pt idx="1">
                  <c:v>Young professionals (26-35)</c:v>
                </c:pt>
                <c:pt idx="2">
                  <c:v>Family builders (36-45)</c:v>
                </c:pt>
                <c:pt idx="3">
                  <c:v>Pre-retirement (46-55)</c:v>
                </c:pt>
                <c:pt idx="4">
                  <c:v>Seniors (55+)</c:v>
                </c:pt>
              </c:strCache>
            </c:strRef>
          </c:cat>
          <c:val>
            <c:numRef>
              <c:f>Segment_Scorecard!$F$6:$F$10</c:f>
              <c:numCache>
                <c:formatCode>0.0%</c:formatCode>
                <c:ptCount val="5"/>
                <c:pt idx="0">
                  <c:v>0.709677419354839</c:v>
                </c:pt>
                <c:pt idx="1">
                  <c:v>0.857142857142857</c:v>
                </c:pt>
                <c:pt idx="2">
                  <c:v>0.814814814814815</c:v>
                </c:pt>
                <c:pt idx="3">
                  <c:v>0.578947368421053</c:v>
                </c:pt>
                <c:pt idx="4">
                  <c:v>0.5625</c:v>
                </c:pt>
              </c:numCache>
            </c:numRef>
          </c:val>
        </c:ser>
        <c:ser>
          <c:idx val="3"/>
          <c:order val="3"/>
          <c:tx>
            <c:strRef>
              <c:f>Segment_Scorecard!G5</c:f>
              <c:strCache>
                <c:ptCount val="1"/>
                <c:pt idx="0">
                  <c:v>Premium %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Segment_Scorecard!$A$6:$A$10</c:f>
              <c:strCache>
                <c:ptCount val="5"/>
                <c:pt idx="0">
                  <c:v>Gen Z (18-25)</c:v>
                </c:pt>
                <c:pt idx="1">
                  <c:v>Young professionals (26-35)</c:v>
                </c:pt>
                <c:pt idx="2">
                  <c:v>Family builders (36-45)</c:v>
                </c:pt>
                <c:pt idx="3">
                  <c:v>Pre-retirement (46-55)</c:v>
                </c:pt>
                <c:pt idx="4">
                  <c:v>Seniors (55+)</c:v>
                </c:pt>
              </c:strCache>
            </c:strRef>
          </c:cat>
          <c:val>
            <c:numRef>
              <c:f>Segment_Scorecard!$G$6:$G$10</c:f>
              <c:numCache>
                <c:formatCode>0.0%</c:formatCode>
                <c:ptCount val="5"/>
                <c:pt idx="0">
                  <c:v>0.0967741935483871</c:v>
                </c:pt>
                <c:pt idx="1">
                  <c:v>0.261904761904762</c:v>
                </c:pt>
                <c:pt idx="2">
                  <c:v>0.814814814814815</c:v>
                </c:pt>
                <c:pt idx="3">
                  <c:v>0.68421052631579</c:v>
                </c:pt>
                <c:pt idx="4">
                  <c:v>0.3125</c:v>
                </c:pt>
              </c:numCache>
            </c:numRef>
          </c:val>
        </c:ser>
        <c:gapWidth val="150"/>
        <c:overlap val="0"/>
        <c:axId val="50543715"/>
        <c:axId val="55030630"/>
      </c:barChart>
      <c:catAx>
        <c:axId val="50543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30630"/>
        <c:crosses val="autoZero"/>
        <c:auto val="1"/>
        <c:lblAlgn val="ctr"/>
        <c:lblOffset val="100"/>
        <c:noMultiLvlLbl val="0"/>
      </c:catAx>
      <c:valAx>
        <c:axId val="55030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43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131040</xdr:rowOff>
    </xdr:from>
    <xdr:to>
      <xdr:col>4</xdr:col>
      <xdr:colOff>59400</xdr:colOff>
      <xdr:row>33</xdr:row>
      <xdr:rowOff>174240</xdr:rowOff>
    </xdr:to>
    <xdr:graphicFrame>
      <xdr:nvGraphicFramePr>
        <xdr:cNvPr id="0" name="Chart 1"/>
        <xdr:cNvGraphicFramePr/>
      </xdr:nvGraphicFramePr>
      <xdr:xfrm>
        <a:off x="141120" y="57913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131040</xdr:rowOff>
    </xdr:from>
    <xdr:to>
      <xdr:col>7</xdr:col>
      <xdr:colOff>59040</xdr:colOff>
      <xdr:row>33</xdr:row>
      <xdr:rowOff>174240</xdr:rowOff>
    </xdr:to>
    <xdr:graphicFrame>
      <xdr:nvGraphicFramePr>
        <xdr:cNvPr id="1" name="Chart 2"/>
        <xdr:cNvGraphicFramePr/>
      </xdr:nvGraphicFramePr>
      <xdr:xfrm>
        <a:off x="4581360" y="57913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4680</xdr:colOff>
      <xdr:row>16</xdr:row>
      <xdr:rowOff>55800</xdr:rowOff>
    </xdr:to>
    <xdr:graphicFrame>
      <xdr:nvGraphicFramePr>
        <xdr:cNvPr id="2" name="Chart 1"/>
        <xdr:cNvGraphicFramePr/>
      </xdr:nvGraphicFramePr>
      <xdr:xfrm>
        <a:off x="10572840" y="57168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19</xdr:col>
      <xdr:colOff>4680</xdr:colOff>
      <xdr:row>32</xdr:row>
      <xdr:rowOff>55440</xdr:rowOff>
    </xdr:to>
    <xdr:graphicFrame>
      <xdr:nvGraphicFramePr>
        <xdr:cNvPr id="3" name="Chart 2"/>
        <xdr:cNvGraphicFramePr/>
      </xdr:nvGraphicFramePr>
      <xdr:xfrm>
        <a:off x="10572840" y="361944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34</xdr:row>
      <xdr:rowOff>131040</xdr:rowOff>
    </xdr:from>
    <xdr:to>
      <xdr:col>19</xdr:col>
      <xdr:colOff>4680</xdr:colOff>
      <xdr:row>48</xdr:row>
      <xdr:rowOff>55440</xdr:rowOff>
    </xdr:to>
    <xdr:graphicFrame>
      <xdr:nvGraphicFramePr>
        <xdr:cNvPr id="4" name="Chart 3"/>
        <xdr:cNvGraphicFramePr/>
      </xdr:nvGraphicFramePr>
      <xdr:xfrm>
        <a:off x="10572840" y="666756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4680</xdr:colOff>
      <xdr:row>16</xdr:row>
      <xdr:rowOff>55800</xdr:rowOff>
    </xdr:to>
    <xdr:graphicFrame>
      <xdr:nvGraphicFramePr>
        <xdr:cNvPr id="5" name="Chart 1"/>
        <xdr:cNvGraphicFramePr/>
      </xdr:nvGraphicFramePr>
      <xdr:xfrm>
        <a:off x="10572840" y="57168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19</xdr:col>
      <xdr:colOff>4680</xdr:colOff>
      <xdr:row>32</xdr:row>
      <xdr:rowOff>55440</xdr:rowOff>
    </xdr:to>
    <xdr:graphicFrame>
      <xdr:nvGraphicFramePr>
        <xdr:cNvPr id="6" name="Chart 2"/>
        <xdr:cNvGraphicFramePr/>
      </xdr:nvGraphicFramePr>
      <xdr:xfrm>
        <a:off x="10572840" y="361944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34</xdr:row>
      <xdr:rowOff>131040</xdr:rowOff>
    </xdr:from>
    <xdr:to>
      <xdr:col>19</xdr:col>
      <xdr:colOff>4680</xdr:colOff>
      <xdr:row>48</xdr:row>
      <xdr:rowOff>55440</xdr:rowOff>
    </xdr:to>
    <xdr:graphicFrame>
      <xdr:nvGraphicFramePr>
        <xdr:cNvPr id="7" name="Chart 3"/>
        <xdr:cNvGraphicFramePr/>
      </xdr:nvGraphicFramePr>
      <xdr:xfrm>
        <a:off x="10572840" y="666756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50</xdr:row>
      <xdr:rowOff>131040</xdr:rowOff>
    </xdr:from>
    <xdr:to>
      <xdr:col>19</xdr:col>
      <xdr:colOff>4680</xdr:colOff>
      <xdr:row>64</xdr:row>
      <xdr:rowOff>55800</xdr:rowOff>
    </xdr:to>
    <xdr:graphicFrame>
      <xdr:nvGraphicFramePr>
        <xdr:cNvPr id="8" name="Chart 4"/>
        <xdr:cNvGraphicFramePr/>
      </xdr:nvGraphicFramePr>
      <xdr:xfrm>
        <a:off x="10572840" y="971568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4680</xdr:colOff>
      <xdr:row>16</xdr:row>
      <xdr:rowOff>55800</xdr:rowOff>
    </xdr:to>
    <xdr:graphicFrame>
      <xdr:nvGraphicFramePr>
        <xdr:cNvPr id="9" name="Chart 1"/>
        <xdr:cNvGraphicFramePr/>
      </xdr:nvGraphicFramePr>
      <xdr:xfrm>
        <a:off x="10572840" y="57168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19</xdr:col>
      <xdr:colOff>4680</xdr:colOff>
      <xdr:row>32</xdr:row>
      <xdr:rowOff>55440</xdr:rowOff>
    </xdr:to>
    <xdr:graphicFrame>
      <xdr:nvGraphicFramePr>
        <xdr:cNvPr id="10" name="Chart 2"/>
        <xdr:cNvGraphicFramePr/>
      </xdr:nvGraphicFramePr>
      <xdr:xfrm>
        <a:off x="10572840" y="361944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34</xdr:row>
      <xdr:rowOff>131040</xdr:rowOff>
    </xdr:from>
    <xdr:to>
      <xdr:col>19</xdr:col>
      <xdr:colOff>4680</xdr:colOff>
      <xdr:row>48</xdr:row>
      <xdr:rowOff>55440</xdr:rowOff>
    </xdr:to>
    <xdr:graphicFrame>
      <xdr:nvGraphicFramePr>
        <xdr:cNvPr id="11" name="Chart 3"/>
        <xdr:cNvGraphicFramePr/>
      </xdr:nvGraphicFramePr>
      <xdr:xfrm>
        <a:off x="10572840" y="666756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4680</xdr:colOff>
      <xdr:row>16</xdr:row>
      <xdr:rowOff>55800</xdr:rowOff>
    </xdr:to>
    <xdr:graphicFrame>
      <xdr:nvGraphicFramePr>
        <xdr:cNvPr id="12" name="Chart 1"/>
        <xdr:cNvGraphicFramePr/>
      </xdr:nvGraphicFramePr>
      <xdr:xfrm>
        <a:off x="11489040" y="57168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20</xdr:col>
      <xdr:colOff>113040</xdr:colOff>
      <xdr:row>32</xdr:row>
      <xdr:rowOff>163440</xdr:rowOff>
    </xdr:to>
    <xdr:graphicFrame>
      <xdr:nvGraphicFramePr>
        <xdr:cNvPr id="13" name="Chart 2"/>
        <xdr:cNvGraphicFramePr/>
      </xdr:nvGraphicFramePr>
      <xdr:xfrm>
        <a:off x="11489040" y="361944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36</xdr:row>
      <xdr:rowOff>130680</xdr:rowOff>
    </xdr:from>
    <xdr:to>
      <xdr:col>19</xdr:col>
      <xdr:colOff>4680</xdr:colOff>
      <xdr:row>50</xdr:row>
      <xdr:rowOff>55440</xdr:rowOff>
    </xdr:to>
    <xdr:graphicFrame>
      <xdr:nvGraphicFramePr>
        <xdr:cNvPr id="14" name="Chart 3"/>
        <xdr:cNvGraphicFramePr/>
      </xdr:nvGraphicFramePr>
      <xdr:xfrm>
        <a:off x="11489040" y="704844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18360</xdr:rowOff>
    </xdr:from>
    <xdr:to>
      <xdr:col>7</xdr:col>
      <xdr:colOff>40320</xdr:colOff>
      <xdr:row>28</xdr:row>
      <xdr:rowOff>29880</xdr:rowOff>
    </xdr:to>
    <xdr:graphicFrame>
      <xdr:nvGraphicFramePr>
        <xdr:cNvPr id="15" name="Chart 1"/>
        <xdr:cNvGraphicFramePr/>
      </xdr:nvGraphicFramePr>
      <xdr:xfrm>
        <a:off x="0" y="247644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urvey" displayName="tblSurvey" ref="A1:AD136" headerRowCount="1" totalsRowCount="0" totalsRowShown="0">
  <autoFilter ref="A1:AD136"/>
  <tableColumns count="30">
    <tableColumn id="1" name="Respondent_ID"/>
    <tableColumn id="2" name="Gender"/>
    <tableColumn id="3" name="Age_Group"/>
    <tableColumn id="4" name="Age_Sort"/>
    <tableColumn id="5" name="Occupation"/>
    <tableColumn id="6" name="Income_Band"/>
    <tableColumn id="7" name="Income_Sort"/>
    <tableColumn id="8" name="Model_Interest"/>
    <tableColumn id="9" name="Powertrain"/>
    <tableColumn id="10" name="Transmission"/>
    <tableColumn id="11" name="Budget_Band"/>
    <tableColumn id="12" name="Budget_Sort"/>
    <tableColumn id="13" name="Purpose"/>
    <tableColumn id="14" name="Motivation_1"/>
    <tableColumn id="15" name="Motivation_2"/>
    <tableColumn id="16" name="Motivation_3"/>
    <tableColumn id="17" name="Tech_Must_Have"/>
    <tableColumn id="18" name="Info_Source"/>
    <tableColumn id="19" name="Finance_Mode"/>
    <tableColumn id="20" name="Purchase_Occasion"/>
    <tableColumn id="21" name="Dealer"/>
    <tableColumn id="22" name="Dealer_Area"/>
    <tableColumn id="23" name="Dealer_Choice_Reason"/>
    <tableColumn id="24" name="Resale_Expectation"/>
    <tableColumn id="25" name="Service_Info_Known"/>
    <tableColumn id="26" name="No_Info_Reason"/>
    <tableColumn id="27" name="Ownership_Complaint"/>
    <tableColumn id="28" name="Complaint_Theme"/>
    <tableColumn id="29" name="Model_Tier"/>
    <tableColumn id="30" name="Life_St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21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36" hidden="false" customHeight="true" outlineLevel="0" collapsed="false">
      <c r="B5" s="4" t="n">
        <f aca="false">COUNTA(Data!$A$2:$A$136)</f>
        <v>135</v>
      </c>
      <c r="C5" s="5" t="n">
        <f aca="false">COUNTIF(Data!$I$2:$I$136,"EV")/COUNTA(Data!$A$2:$A$136)</f>
        <v>0.311111111111111</v>
      </c>
      <c r="D5" s="5" t="n">
        <f aca="false">COUNTIF(Data!$J$2:$J$136,"Automatic")/COUNTA(Data!$A$2:$A$136)</f>
        <v>0.57037037037037</v>
      </c>
      <c r="E5" s="5" t="n">
        <f aca="false">COUNTIF(Data!$S$2:$S$136,"Loan")/COUNTA(Data!$A$2:$A$136)</f>
        <v>0.740740740740741</v>
      </c>
      <c r="F5" s="6" t="str">
        <f aca="false">INDEX(Demand_Profile!A6:A11,MATCH(MAX(Demand_Profile!B6:B11),Demand_Profile!B6:B11,0))</f>
        <v>Nexon</v>
      </c>
      <c r="G5" s="6" t="str">
        <f aca="false">Service_Experience!A22</f>
        <v>Panel gaps</v>
      </c>
    </row>
    <row r="7" customFormat="false" ht="15" hidden="false" customHeight="false" outlineLevel="0" collapsed="false">
      <c r="B7" s="7" t="s">
        <v>8</v>
      </c>
    </row>
    <row r="8" customFormat="false" ht="30" hidden="false" customHeight="true" outlineLevel="0" collapsed="false">
      <c r="B8" s="8" t="str">
        <f aca="false">"1. Demand is concentrated: "&amp;INDEX(Demand_Profile!A6:A11,MATCH(LARGE(Demand_Profile!B6:B11,1),Demand_Profile!B6:B11,0))&amp;" and "&amp;INDEX(Demand_Profile!A6:A11,MATCH(LARGE(Demand_Profile!B6:B11,2),Demand_Profile!B6:B11,0))&amp;" together attract "&amp;TEXT(LARGE(Demand_Profile!C6:C11,1)+LARGE(Demand_Profile!C6:C11,2),"0.0%")&amp;" of all model interest."</f>
        <v>1. Demand is concentrated: Nexon and Punch together attract 45.9% of all model interest.</v>
      </c>
      <c r="C8" s="8"/>
      <c r="D8" s="8"/>
      <c r="E8" s="8"/>
      <c r="F8" s="8"/>
      <c r="G8" s="8"/>
    </row>
    <row r="9" customFormat="false" ht="30" hidden="false" customHeight="true" outlineLevel="0" collapsed="false">
      <c r="B9" s="8" t="str">
        <f aca="false">"2. EV interest is highest in the "&amp;INDEX(Powertrain_Transmission!A6:A10,MATCH(MAX(Powertrain_Transmission!D6:D10),Powertrain_Transmission!D6:D10,0))&amp;" age group ("&amp;TEXT(MAX(Powertrain_Transmission!D6:D10),"0.0%")&amp;") and lowest in "&amp;INDEX(Powertrain_Transmission!A6:A10,MATCH(MIN(Powertrain_Transmission!D6:D10),Powertrain_Transmission!D6:D10,0))&amp;" ("&amp;TEXT(MIN(Powertrain_Transmission!D6:D10),"0.0%")&amp;")."</f>
        <v>2. EV interest is highest in the 26-35 age group (50.0%) and lowest in 36-45 (14.8%).</v>
      </c>
      <c r="C9" s="8"/>
      <c r="D9" s="8"/>
      <c r="E9" s="8"/>
      <c r="F9" s="8"/>
      <c r="G9" s="8"/>
    </row>
    <row r="10" customFormat="false" ht="30" hidden="false" customHeight="true" outlineLevel="0" collapsed="false">
      <c r="B10" s="8" t="str">
        <f aca="false">"3. EV demand is model-specific: "&amp;TEXT(INDEX(Powertrain_Transmission!G38:G43,MATCH("Nexon",Powertrain_Transmission!A38:A43,0)),"0.0%")&amp;" of Nexon-interested respondents want the EV, versus "&amp;TEXT(INDEX(Powertrain_Transmission!G38:G43,MATCH("Punch",Powertrain_Transmission!A38:A43,0)),"0.0%")&amp;" for Punch."</f>
        <v>3. EV demand is model-specific: 62.9% of Nexon-interested respondents want the EV, versus 11.1% for Punch.</v>
      </c>
      <c r="C10" s="8"/>
      <c r="D10" s="8"/>
      <c r="E10" s="8"/>
      <c r="F10" s="8"/>
      <c r="G10" s="8"/>
    </row>
    <row r="11" customFormat="false" ht="30" hidden="false" customHeight="true" outlineLevel="0" collapsed="false">
      <c r="B11" s="8" t="str">
        <f aca="false">"4. Premium-tier interest rises with income: "&amp;TEXT(Demand_Profile!D41,"0.0%")&amp;" in the Above 2L band versus "&amp;TEXT(Demand_Profile!D39,"0.0%")&amp;" in the 50K-1L band."</f>
        <v>4. Premium-tier interest rises with income: 67.7% in the Above 2L band versus 23.1% in the 50K-1L band.</v>
      </c>
      <c r="C11" s="8"/>
      <c r="D11" s="8"/>
      <c r="E11" s="8"/>
      <c r="F11" s="8"/>
      <c r="G11" s="8"/>
    </row>
    <row r="12" customFormat="false" ht="30" hidden="false" customHeight="true" outlineLevel="0" collapsed="false">
      <c r="B12" s="8" t="str">
        <f aca="false">"5. Loans are the main payment mode ("&amp;TEXT(E5,"0.0%")&amp;" overall) and peak at "&amp;TEXT(MAX(Buying_Behaviour!F22:F26),"0.0%")&amp;" in the "&amp;INDEX(Buying_Behaviour!A22:A26,MATCH(MAX(Buying_Behaviour!F22:F26),Buying_Behaviour!F22:F26,0))&amp;" group."</f>
        <v>5. Loans are the main payment mode (74.1% overall) and peak at 85.7% in the 26-35 group.</v>
      </c>
      <c r="C12" s="8"/>
      <c r="D12" s="8"/>
      <c r="E12" s="8"/>
      <c r="F12" s="8"/>
      <c r="G12" s="8"/>
    </row>
    <row r="13" customFormat="false" ht="30" hidden="false" customHeight="true" outlineLevel="0" collapsed="false">
      <c r="B13" s="8" t="str">
        <f aca="false">"6. Research channel: "&amp;Buying_Behaviour!F38&amp;" leads for 18-25 buyers, while "&amp;Buying_Behaviour!F42&amp;" leads for the Above 55 group."</f>
        <v>6. Research channel: Word of Mouth leads for 18-25 buyers, while Website leads for the Above 55 group.</v>
      </c>
      <c r="C13" s="8"/>
      <c r="D13" s="8"/>
      <c r="E13" s="8"/>
      <c r="F13" s="8"/>
      <c r="G13" s="8"/>
    </row>
    <row r="14" customFormat="false" ht="30" hidden="false" customHeight="true" outlineLevel="0" collapsed="false">
      <c r="B14" s="8" t="str">
        <f aca="false">"7. Complaints are spread out: the largest, "&amp;Service_Experience!A22&amp;", is only "&amp;TEXT(Service_Experience!D22,"0.0%")&amp;" of the total, and the top four reach "&amp;TEXT(Service_Experience!E25,"0.0%")&amp;"."</f>
        <v>7. Complaints are spread out: the largest, Panel gaps, is only 17.8% of the total, and the top four reach 65.2%.</v>
      </c>
      <c r="C14" s="8"/>
      <c r="D14" s="8"/>
      <c r="E14" s="8"/>
      <c r="F14" s="8"/>
      <c r="G14" s="8"/>
    </row>
    <row r="15" customFormat="false" ht="30" hidden="false" customHeight="true" outlineLevel="0" collapsed="false">
      <c r="B15" s="8" t="str">
        <f aca="false">"8. Highway/Long Distance buyers choose automatic "&amp;TEXT(Powertrain_Transmission!E55,"0.0%")&amp;" of the time versus "&amp;TEXT(Powertrain_Transmission!E54,"0.0%")&amp;" for City Commute, but purpose and model tier overlap (see Powertrain_Transmission)."</f>
        <v>8. Highway/Long Distance buyers choose automatic 85.2% of the time versus 38.3% for City Commute, but purpose and model tier overlap (see Powertrain_Transmission).</v>
      </c>
      <c r="C15" s="8"/>
      <c r="D15" s="8"/>
      <c r="E15" s="8"/>
      <c r="F15" s="8"/>
      <c r="G15" s="8"/>
    </row>
    <row r="17" customFormat="false" ht="15" hidden="false" customHeight="false" outlineLevel="0" collapsed="false">
      <c r="B17" s="7" t="s">
        <v>9</v>
      </c>
    </row>
    <row r="18" customFormat="false" ht="15" hidden="false" customHeight="false" outlineLevel="0" collapsed="false">
      <c r="B18" s="9" t="s">
        <v>10</v>
      </c>
      <c r="C18" s="9"/>
      <c r="D18" s="9"/>
      <c r="E18" s="9"/>
      <c r="F18" s="9"/>
      <c r="G18" s="9"/>
    </row>
    <row r="19" customFormat="false" ht="15" hidden="false" customHeight="false" outlineLevel="0" collapsed="false">
      <c r="B19" s="9" t="s">
        <v>11</v>
      </c>
      <c r="C19" s="9"/>
      <c r="D19" s="9"/>
      <c r="E19" s="9"/>
      <c r="F19" s="9"/>
      <c r="G19" s="9"/>
    </row>
    <row r="20" customFormat="false" ht="15" hidden="false" customHeight="false" outlineLevel="0" collapsed="false">
      <c r="B20" s="9" t="s">
        <v>12</v>
      </c>
      <c r="C20" s="9"/>
      <c r="D20" s="9"/>
      <c r="E20" s="9"/>
      <c r="F20" s="9"/>
      <c r="G20" s="9"/>
    </row>
  </sheetData>
  <mergeCells count="11">
    <mergeCell ref="B8:G8"/>
    <mergeCell ref="B9:G9"/>
    <mergeCell ref="B10:G10"/>
    <mergeCell ref="B11:G11"/>
    <mergeCell ref="B12:G12"/>
    <mergeCell ref="B13:G13"/>
    <mergeCell ref="B14:G14"/>
    <mergeCell ref="B15:G15"/>
    <mergeCell ref="B18:G18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7" t="s">
        <v>15</v>
      </c>
    </row>
    <row r="5" customFormat="false" ht="15" hidden="false" customHeight="false" outlineLevel="0" collapsed="false">
      <c r="A5" s="10" t="s">
        <v>16</v>
      </c>
      <c r="B5" s="11" t="s">
        <v>2</v>
      </c>
      <c r="C5" s="11" t="s">
        <v>17</v>
      </c>
      <c r="D5" s="11" t="s">
        <v>18</v>
      </c>
    </row>
    <row r="6" customFormat="false" ht="15" hidden="false" customHeight="false" outlineLevel="0" collapsed="false">
      <c r="A6" s="12" t="s">
        <v>19</v>
      </c>
      <c r="B6" s="13" t="n">
        <f aca="false">COUNTIF(Data!$H$2:$H$136,$A6)</f>
        <v>35</v>
      </c>
      <c r="C6" s="14" t="n">
        <f aca="false">B6/COUNTA(Data!$A$2:$A$136)</f>
        <v>0.259259259259259</v>
      </c>
      <c r="D6" s="13" t="n">
        <f aca="false">RANK(B6,$B$6:$B$11)</f>
        <v>1</v>
      </c>
    </row>
    <row r="7" customFormat="false" ht="15" hidden="false" customHeight="false" outlineLevel="0" collapsed="false">
      <c r="A7" s="12" t="s">
        <v>20</v>
      </c>
      <c r="B7" s="13" t="n">
        <f aca="false">COUNTIF(Data!$H$2:$H$136,$A7)</f>
        <v>27</v>
      </c>
      <c r="C7" s="14" t="n">
        <f aca="false">B7/COUNTA(Data!$A$2:$A$136)</f>
        <v>0.2</v>
      </c>
      <c r="D7" s="13" t="n">
        <f aca="false">RANK(B7,$B$6:$B$11)</f>
        <v>2</v>
      </c>
    </row>
    <row r="8" customFormat="false" ht="15" hidden="false" customHeight="false" outlineLevel="0" collapsed="false">
      <c r="A8" s="12" t="s">
        <v>21</v>
      </c>
      <c r="B8" s="13" t="n">
        <f aca="false">COUNTIF(Data!$H$2:$H$136,$A8)</f>
        <v>23</v>
      </c>
      <c r="C8" s="14" t="n">
        <f aca="false">B8/COUNTA(Data!$A$2:$A$136)</f>
        <v>0.17037037037037</v>
      </c>
      <c r="D8" s="13" t="n">
        <f aca="false">RANK(B8,$B$6:$B$11)</f>
        <v>3</v>
      </c>
    </row>
    <row r="9" customFormat="false" ht="15" hidden="false" customHeight="false" outlineLevel="0" collapsed="false">
      <c r="A9" s="12" t="s">
        <v>22</v>
      </c>
      <c r="B9" s="13" t="n">
        <f aca="false">COUNTIF(Data!$H$2:$H$136,$A9)</f>
        <v>19</v>
      </c>
      <c r="C9" s="14" t="n">
        <f aca="false">B9/COUNTA(Data!$A$2:$A$136)</f>
        <v>0.140740740740741</v>
      </c>
      <c r="D9" s="13" t="n">
        <f aca="false">RANK(B9,$B$6:$B$11)</f>
        <v>4</v>
      </c>
    </row>
    <row r="10" customFormat="false" ht="15" hidden="false" customHeight="false" outlineLevel="0" collapsed="false">
      <c r="A10" s="12" t="s">
        <v>23</v>
      </c>
      <c r="B10" s="13" t="n">
        <f aca="false">COUNTIF(Data!$H$2:$H$136,$A10)</f>
        <v>16</v>
      </c>
      <c r="C10" s="14" t="n">
        <f aca="false">B10/COUNTA(Data!$A$2:$A$136)</f>
        <v>0.118518518518519</v>
      </c>
      <c r="D10" s="13" t="n">
        <f aca="false">RANK(B10,$B$6:$B$11)</f>
        <v>5</v>
      </c>
    </row>
    <row r="11" customFormat="false" ht="15" hidden="false" customHeight="false" outlineLevel="0" collapsed="false">
      <c r="A11" s="12" t="s">
        <v>24</v>
      </c>
      <c r="B11" s="13" t="n">
        <f aca="false">COUNTIF(Data!$H$2:$H$136,$A11)</f>
        <v>15</v>
      </c>
      <c r="C11" s="14" t="n">
        <f aca="false">B11/COUNTA(Data!$A$2:$A$136)</f>
        <v>0.111111111111111</v>
      </c>
      <c r="D11" s="13" t="n">
        <f aca="false">RANK(B11,$B$6:$B$11)</f>
        <v>6</v>
      </c>
    </row>
    <row r="12" customFormat="false" ht="15" hidden="false" customHeight="false" outlineLevel="0" collapsed="false">
      <c r="A12" s="15" t="s">
        <v>25</v>
      </c>
      <c r="B12" s="16" t="n">
        <f aca="false">SUM(B6:B11)</f>
        <v>135</v>
      </c>
      <c r="C12" s="17" t="n">
        <f aca="false">SUM(C6:C11)</f>
        <v>1</v>
      </c>
      <c r="D12" s="16"/>
    </row>
    <row r="20" customFormat="false" ht="15" hidden="false" customHeight="false" outlineLevel="0" collapsed="false">
      <c r="A20" s="7" t="s">
        <v>26</v>
      </c>
    </row>
    <row r="21" customFormat="false" ht="15" hidden="false" customHeight="false" outlineLevel="0" collapsed="false">
      <c r="A21" s="10" t="s">
        <v>27</v>
      </c>
      <c r="B21" s="11" t="s">
        <v>19</v>
      </c>
      <c r="C21" s="11" t="s">
        <v>20</v>
      </c>
      <c r="D21" s="11" t="s">
        <v>21</v>
      </c>
      <c r="E21" s="11" t="s">
        <v>22</v>
      </c>
      <c r="F21" s="11" t="s">
        <v>23</v>
      </c>
      <c r="G21" s="11" t="s">
        <v>24</v>
      </c>
      <c r="H21" s="11" t="s">
        <v>25</v>
      </c>
      <c r="I21" s="11" t="s">
        <v>28</v>
      </c>
    </row>
    <row r="22" customFormat="false" ht="15" hidden="false" customHeight="false" outlineLevel="0" collapsed="false">
      <c r="A22" s="12" t="s">
        <v>29</v>
      </c>
      <c r="B22" s="13" t="n">
        <f aca="false">COUNTIFS(Data!$C$2:$C$136,$A22,Data!$H$2:$H$136,B$21)</f>
        <v>6</v>
      </c>
      <c r="C22" s="13" t="n">
        <f aca="false">COUNTIFS(Data!$C$2:$C$136,$A22,Data!$H$2:$H$136,C$21)</f>
        <v>16</v>
      </c>
      <c r="D22" s="13" t="n">
        <f aca="false">COUNTIFS(Data!$C$2:$C$136,$A22,Data!$H$2:$H$136,D$21)</f>
        <v>1</v>
      </c>
      <c r="E22" s="13" t="n">
        <f aca="false">COUNTIFS(Data!$C$2:$C$136,$A22,Data!$H$2:$H$136,E$21)</f>
        <v>6</v>
      </c>
      <c r="F22" s="13" t="n">
        <f aca="false">COUNTIFS(Data!$C$2:$C$136,$A22,Data!$H$2:$H$136,F$21)</f>
        <v>0</v>
      </c>
      <c r="G22" s="13" t="n">
        <f aca="false">COUNTIFS(Data!$C$2:$C$136,$A22,Data!$H$2:$H$136,G$21)</f>
        <v>2</v>
      </c>
      <c r="H22" s="13" t="n">
        <f aca="false">SUM(B22:G22)</f>
        <v>31</v>
      </c>
      <c r="I22" s="12" t="str">
        <f aca="false">INDEX($B$21:$G$21,MATCH(MAX(B22:G22),B22:G22,0))</f>
        <v>Punch</v>
      </c>
    </row>
    <row r="23" customFormat="false" ht="15" hidden="false" customHeight="false" outlineLevel="0" collapsed="false">
      <c r="A23" s="12" t="s">
        <v>30</v>
      </c>
      <c r="B23" s="13" t="n">
        <f aca="false">COUNTIFS(Data!$C$2:$C$136,$A23,Data!$H$2:$H$136,B$21)</f>
        <v>20</v>
      </c>
      <c r="C23" s="13" t="n">
        <f aca="false">COUNTIFS(Data!$C$2:$C$136,$A23,Data!$H$2:$H$136,C$21)</f>
        <v>4</v>
      </c>
      <c r="D23" s="13" t="n">
        <f aca="false">COUNTIFS(Data!$C$2:$C$136,$A23,Data!$H$2:$H$136,D$21)</f>
        <v>0</v>
      </c>
      <c r="E23" s="13" t="n">
        <f aca="false">COUNTIFS(Data!$C$2:$C$136,$A23,Data!$H$2:$H$136,E$21)</f>
        <v>7</v>
      </c>
      <c r="F23" s="13" t="n">
        <f aca="false">COUNTIFS(Data!$C$2:$C$136,$A23,Data!$H$2:$H$136,F$21)</f>
        <v>3</v>
      </c>
      <c r="G23" s="13" t="n">
        <f aca="false">COUNTIFS(Data!$C$2:$C$136,$A23,Data!$H$2:$H$136,G$21)</f>
        <v>8</v>
      </c>
      <c r="H23" s="13" t="n">
        <f aca="false">SUM(B23:G23)</f>
        <v>42</v>
      </c>
      <c r="I23" s="12" t="str">
        <f aca="false">INDEX($B$21:$G$21,MATCH(MAX(B23:G23),B23:G23,0))</f>
        <v>Nexon</v>
      </c>
    </row>
    <row r="24" customFormat="false" ht="15" hidden="false" customHeight="false" outlineLevel="0" collapsed="false">
      <c r="A24" s="12" t="s">
        <v>31</v>
      </c>
      <c r="B24" s="13" t="n">
        <f aca="false">COUNTIFS(Data!$C$2:$C$136,$A24,Data!$H$2:$H$136,B$21)</f>
        <v>0</v>
      </c>
      <c r="C24" s="13" t="n">
        <f aca="false">COUNTIFS(Data!$C$2:$C$136,$A24,Data!$H$2:$H$136,C$21)</f>
        <v>5</v>
      </c>
      <c r="D24" s="13" t="n">
        <f aca="false">COUNTIFS(Data!$C$2:$C$136,$A24,Data!$H$2:$H$136,D$21)</f>
        <v>11</v>
      </c>
      <c r="E24" s="13" t="n">
        <f aca="false">COUNTIFS(Data!$C$2:$C$136,$A24,Data!$H$2:$H$136,E$21)</f>
        <v>0</v>
      </c>
      <c r="F24" s="13" t="n">
        <f aca="false">COUNTIFS(Data!$C$2:$C$136,$A24,Data!$H$2:$H$136,F$21)</f>
        <v>6</v>
      </c>
      <c r="G24" s="13" t="n">
        <f aca="false">COUNTIFS(Data!$C$2:$C$136,$A24,Data!$H$2:$H$136,G$21)</f>
        <v>5</v>
      </c>
      <c r="H24" s="13" t="n">
        <f aca="false">SUM(B24:G24)</f>
        <v>27</v>
      </c>
      <c r="I24" s="12" t="str">
        <f aca="false">INDEX($B$21:$G$21,MATCH(MAX(B24:G24),B24:G24,0))</f>
        <v>Safari</v>
      </c>
    </row>
    <row r="25" customFormat="false" ht="15" hidden="false" customHeight="false" outlineLevel="0" collapsed="false">
      <c r="A25" s="12" t="s">
        <v>32</v>
      </c>
      <c r="B25" s="13" t="n">
        <f aca="false">COUNTIFS(Data!$C$2:$C$136,$A25,Data!$H$2:$H$136,B$21)</f>
        <v>3</v>
      </c>
      <c r="C25" s="13" t="n">
        <f aca="false">COUNTIFS(Data!$C$2:$C$136,$A25,Data!$H$2:$H$136,C$21)</f>
        <v>0</v>
      </c>
      <c r="D25" s="13" t="n">
        <f aca="false">COUNTIFS(Data!$C$2:$C$136,$A25,Data!$H$2:$H$136,D$21)</f>
        <v>6</v>
      </c>
      <c r="E25" s="13" t="n">
        <f aca="false">COUNTIFS(Data!$C$2:$C$136,$A25,Data!$H$2:$H$136,E$21)</f>
        <v>3</v>
      </c>
      <c r="F25" s="13" t="n">
        <f aca="false">COUNTIFS(Data!$C$2:$C$136,$A25,Data!$H$2:$H$136,F$21)</f>
        <v>7</v>
      </c>
      <c r="G25" s="13" t="n">
        <f aca="false">COUNTIFS(Data!$C$2:$C$136,$A25,Data!$H$2:$H$136,G$21)</f>
        <v>0</v>
      </c>
      <c r="H25" s="13" t="n">
        <f aca="false">SUM(B25:G25)</f>
        <v>19</v>
      </c>
      <c r="I25" s="12" t="str">
        <f aca="false">INDEX($B$21:$G$21,MATCH(MAX(B25:G25),B25:G25,0))</f>
        <v>Harrier</v>
      </c>
    </row>
    <row r="26" customFormat="false" ht="15" hidden="false" customHeight="false" outlineLevel="0" collapsed="false">
      <c r="A26" s="12" t="s">
        <v>33</v>
      </c>
      <c r="B26" s="13" t="n">
        <f aca="false">COUNTIFS(Data!$C$2:$C$136,$A26,Data!$H$2:$H$136,B$21)</f>
        <v>6</v>
      </c>
      <c r="C26" s="13" t="n">
        <f aca="false">COUNTIFS(Data!$C$2:$C$136,$A26,Data!$H$2:$H$136,C$21)</f>
        <v>2</v>
      </c>
      <c r="D26" s="13" t="n">
        <f aca="false">COUNTIFS(Data!$C$2:$C$136,$A26,Data!$H$2:$H$136,D$21)</f>
        <v>5</v>
      </c>
      <c r="E26" s="13" t="n">
        <f aca="false">COUNTIFS(Data!$C$2:$C$136,$A26,Data!$H$2:$H$136,E$21)</f>
        <v>3</v>
      </c>
      <c r="F26" s="13" t="n">
        <f aca="false">COUNTIFS(Data!$C$2:$C$136,$A26,Data!$H$2:$H$136,F$21)</f>
        <v>0</v>
      </c>
      <c r="G26" s="13" t="n">
        <f aca="false">COUNTIFS(Data!$C$2:$C$136,$A26,Data!$H$2:$H$136,G$21)</f>
        <v>0</v>
      </c>
      <c r="H26" s="13" t="n">
        <f aca="false">SUM(B26:G26)</f>
        <v>16</v>
      </c>
      <c r="I26" s="12" t="str">
        <f aca="false">INDEX($B$21:$G$21,MATCH(MAX(B26:G26),B26:G26,0))</f>
        <v>Nexon</v>
      </c>
    </row>
    <row r="36" customFormat="false" ht="15" hidden="false" customHeight="false" outlineLevel="0" collapsed="false">
      <c r="A36" s="7" t="s">
        <v>34</v>
      </c>
    </row>
    <row r="37" customFormat="false" ht="15" hidden="false" customHeight="false" outlineLevel="0" collapsed="false">
      <c r="A37" s="10" t="s">
        <v>35</v>
      </c>
      <c r="B37" s="11" t="s">
        <v>36</v>
      </c>
      <c r="C37" s="11" t="s">
        <v>37</v>
      </c>
      <c r="D37" s="11" t="s">
        <v>38</v>
      </c>
      <c r="E37" s="11" t="s">
        <v>2</v>
      </c>
    </row>
    <row r="38" customFormat="false" ht="15" hidden="false" customHeight="false" outlineLevel="0" collapsed="false">
      <c r="A38" s="12" t="s">
        <v>39</v>
      </c>
      <c r="B38" s="14" t="n">
        <f aca="false">COUNTIFS(Data!$F$2:$F$136,$A38,Data!$AC$2:$AC$136,B$37)/$E38</f>
        <v>0.368421052631579</v>
      </c>
      <c r="C38" s="14" t="n">
        <f aca="false">COUNTIFS(Data!$F$2:$F$136,$A38,Data!$AC$2:$AC$136,C$37)/$E38</f>
        <v>0.210526315789474</v>
      </c>
      <c r="D38" s="14" t="n">
        <f aca="false">COUNTIFS(Data!$F$2:$F$136,$A38,Data!$AC$2:$AC$136,D$37)/$E38</f>
        <v>0.421052631578947</v>
      </c>
      <c r="E38" s="13" t="n">
        <f aca="false">COUNTIF(Data!$F$2:$F$136,$A38)</f>
        <v>19</v>
      </c>
    </row>
    <row r="39" customFormat="false" ht="15" hidden="false" customHeight="false" outlineLevel="0" collapsed="false">
      <c r="A39" s="12" t="s">
        <v>40</v>
      </c>
      <c r="B39" s="14" t="n">
        <f aca="false">COUNTIFS(Data!$F$2:$F$136,$A39,Data!$AC$2:$AC$136,B$37)/$E39</f>
        <v>0.205128205128205</v>
      </c>
      <c r="C39" s="14" t="n">
        <f aca="false">COUNTIFS(Data!$F$2:$F$136,$A39,Data!$AC$2:$AC$136,C$37)/$E39</f>
        <v>0.564102564102564</v>
      </c>
      <c r="D39" s="14" t="n">
        <f aca="false">COUNTIFS(Data!$F$2:$F$136,$A39,Data!$AC$2:$AC$136,D$37)/$E39</f>
        <v>0.230769230769231</v>
      </c>
      <c r="E39" s="13" t="n">
        <f aca="false">COUNTIF(Data!$F$2:$F$136,$A39)</f>
        <v>39</v>
      </c>
    </row>
    <row r="40" customFormat="false" ht="15" hidden="false" customHeight="false" outlineLevel="0" collapsed="false">
      <c r="A40" s="12" t="s">
        <v>41</v>
      </c>
      <c r="B40" s="14" t="n">
        <f aca="false">COUNTIFS(Data!$F$2:$F$136,$A40,Data!$AC$2:$AC$136,B$37)/$E40</f>
        <v>0.195652173913044</v>
      </c>
      <c r="C40" s="14" t="n">
        <f aca="false">COUNTIFS(Data!$F$2:$F$136,$A40,Data!$AC$2:$AC$136,C$37)/$E40</f>
        <v>0.456521739130435</v>
      </c>
      <c r="D40" s="14" t="n">
        <f aca="false">COUNTIFS(Data!$F$2:$F$136,$A40,Data!$AC$2:$AC$136,D$37)/$E40</f>
        <v>0.347826086956522</v>
      </c>
      <c r="E40" s="13" t="n">
        <f aca="false">COUNTIF(Data!$F$2:$F$136,$A40)</f>
        <v>46</v>
      </c>
    </row>
    <row r="41" customFormat="false" ht="15" hidden="false" customHeight="false" outlineLevel="0" collapsed="false">
      <c r="A41" s="12" t="s">
        <v>42</v>
      </c>
      <c r="B41" s="14" t="n">
        <f aca="false">COUNTIFS(Data!$F$2:$F$136,$A41,Data!$AC$2:$AC$136,B$37)/$E41</f>
        <v>0.0967741935483871</v>
      </c>
      <c r="C41" s="14" t="n">
        <f aca="false">COUNTIFS(Data!$F$2:$F$136,$A41,Data!$AC$2:$AC$136,C$37)/$E41</f>
        <v>0.225806451612903</v>
      </c>
      <c r="D41" s="14" t="n">
        <f aca="false">COUNTIFS(Data!$F$2:$F$136,$A41,Data!$AC$2:$AC$136,D$37)/$E41</f>
        <v>0.67741935483871</v>
      </c>
      <c r="E41" s="13" t="n">
        <f aca="false">COUNTIF(Data!$F$2:$F$136,$A41)</f>
        <v>31</v>
      </c>
    </row>
    <row r="43" customFormat="false" ht="15" hidden="false" customHeight="false" outlineLevel="0" collapsed="false">
      <c r="A43" s="2" t="s">
        <v>43</v>
      </c>
    </row>
  </sheetData>
  <conditionalFormatting sqref="B22:G26">
    <cfRule type="colorScale" priority="2">
      <colorScale>
        <cfvo type="min" val="0"/>
        <cfvo type="max" val="0"/>
        <color rgb="FFFFFFFF"/>
        <color rgb="FF9DC3E6"/>
      </colorScale>
    </cfRule>
  </conditionalFormatting>
  <conditionalFormatting sqref="B38:D41">
    <cfRule type="colorScale" priority="3">
      <colorScale>
        <cfvo type="min" val="0"/>
        <cfvo type="max" val="0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7" t="s">
        <v>46</v>
      </c>
    </row>
    <row r="5" customFormat="false" ht="15" hidden="false" customHeight="false" outlineLevel="0" collapsed="false">
      <c r="A5" s="10" t="s">
        <v>27</v>
      </c>
      <c r="B5" s="11" t="s">
        <v>2</v>
      </c>
      <c r="C5" s="11" t="s">
        <v>47</v>
      </c>
      <c r="D5" s="11" t="s">
        <v>48</v>
      </c>
    </row>
    <row r="6" customFormat="false" ht="15" hidden="false" customHeight="false" outlineLevel="0" collapsed="false">
      <c r="A6" s="12" t="s">
        <v>29</v>
      </c>
      <c r="B6" s="13" t="n">
        <f aca="false">COUNTIF(Data!$C$2:$C$136,$A6)</f>
        <v>31</v>
      </c>
      <c r="C6" s="13" t="n">
        <f aca="false">COUNTIFS(Data!$C$2:$C$136,$A6,Data!$I$2:$I$136,"EV")</f>
        <v>7</v>
      </c>
      <c r="D6" s="14" t="n">
        <f aca="false">C6/B6</f>
        <v>0.225806451612903</v>
      </c>
    </row>
    <row r="7" customFormat="false" ht="15" hidden="false" customHeight="false" outlineLevel="0" collapsed="false">
      <c r="A7" s="12" t="s">
        <v>30</v>
      </c>
      <c r="B7" s="13" t="n">
        <f aca="false">COUNTIF(Data!$C$2:$C$136,$A7)</f>
        <v>42</v>
      </c>
      <c r="C7" s="13" t="n">
        <f aca="false">COUNTIFS(Data!$C$2:$C$136,$A7,Data!$I$2:$I$136,"EV")</f>
        <v>21</v>
      </c>
      <c r="D7" s="14" t="n">
        <f aca="false">C7/B7</f>
        <v>0.5</v>
      </c>
    </row>
    <row r="8" customFormat="false" ht="15" hidden="false" customHeight="false" outlineLevel="0" collapsed="false">
      <c r="A8" s="12" t="s">
        <v>31</v>
      </c>
      <c r="B8" s="13" t="n">
        <f aca="false">COUNTIF(Data!$C$2:$C$136,$A8)</f>
        <v>27</v>
      </c>
      <c r="C8" s="13" t="n">
        <f aca="false">COUNTIFS(Data!$C$2:$C$136,$A8,Data!$I$2:$I$136,"EV")</f>
        <v>4</v>
      </c>
      <c r="D8" s="14" t="n">
        <f aca="false">C8/B8</f>
        <v>0.148148148148148</v>
      </c>
    </row>
    <row r="9" customFormat="false" ht="15" hidden="false" customHeight="false" outlineLevel="0" collapsed="false">
      <c r="A9" s="12" t="s">
        <v>32</v>
      </c>
      <c r="B9" s="13" t="n">
        <f aca="false">COUNTIF(Data!$C$2:$C$136,$A9)</f>
        <v>19</v>
      </c>
      <c r="C9" s="13" t="n">
        <f aca="false">COUNTIFS(Data!$C$2:$C$136,$A9,Data!$I$2:$I$136,"EV")</f>
        <v>3</v>
      </c>
      <c r="D9" s="14" t="n">
        <f aca="false">C9/B9</f>
        <v>0.157894736842105</v>
      </c>
    </row>
    <row r="10" customFormat="false" ht="15" hidden="false" customHeight="false" outlineLevel="0" collapsed="false">
      <c r="A10" s="12" t="s">
        <v>33</v>
      </c>
      <c r="B10" s="13" t="n">
        <f aca="false">COUNTIF(Data!$C$2:$C$136,$A10)</f>
        <v>16</v>
      </c>
      <c r="C10" s="13" t="n">
        <f aca="false">COUNTIFS(Data!$C$2:$C$136,$A10,Data!$I$2:$I$136,"EV")</f>
        <v>7</v>
      </c>
      <c r="D10" s="14" t="n">
        <f aca="false">C10/B10</f>
        <v>0.4375</v>
      </c>
    </row>
    <row r="20" customFormat="false" ht="15" hidden="false" customHeight="false" outlineLevel="0" collapsed="false">
      <c r="A20" s="7" t="s">
        <v>49</v>
      </c>
    </row>
    <row r="21" customFormat="false" ht="15" hidden="false" customHeight="false" outlineLevel="0" collapsed="false">
      <c r="A21" s="10" t="s">
        <v>35</v>
      </c>
      <c r="B21" s="11" t="s">
        <v>2</v>
      </c>
      <c r="C21" s="11" t="s">
        <v>47</v>
      </c>
      <c r="D21" s="11" t="s">
        <v>48</v>
      </c>
    </row>
    <row r="22" customFormat="false" ht="15" hidden="false" customHeight="false" outlineLevel="0" collapsed="false">
      <c r="A22" s="12" t="s">
        <v>39</v>
      </c>
      <c r="B22" s="13" t="n">
        <f aca="false">COUNTIF(Data!$F$2:$F$136,$A22)</f>
        <v>19</v>
      </c>
      <c r="C22" s="13" t="n">
        <f aca="false">COUNTIFS(Data!$F$2:$F$136,$A22,Data!$I$2:$I$136,"EV")</f>
        <v>3</v>
      </c>
      <c r="D22" s="14" t="n">
        <f aca="false">C22/B22</f>
        <v>0.157894736842105</v>
      </c>
    </row>
    <row r="23" customFormat="false" ht="15" hidden="false" customHeight="false" outlineLevel="0" collapsed="false">
      <c r="A23" s="12" t="s">
        <v>40</v>
      </c>
      <c r="B23" s="13" t="n">
        <f aca="false">COUNTIF(Data!$F$2:$F$136,$A23)</f>
        <v>39</v>
      </c>
      <c r="C23" s="13" t="n">
        <f aca="false">COUNTIFS(Data!$F$2:$F$136,$A23,Data!$I$2:$I$136,"EV")</f>
        <v>16</v>
      </c>
      <c r="D23" s="14" t="n">
        <f aca="false">C23/B23</f>
        <v>0.41025641025641</v>
      </c>
    </row>
    <row r="24" customFormat="false" ht="15" hidden="false" customHeight="false" outlineLevel="0" collapsed="false">
      <c r="A24" s="12" t="s">
        <v>41</v>
      </c>
      <c r="B24" s="13" t="n">
        <f aca="false">COUNTIF(Data!$F$2:$F$136,$A24)</f>
        <v>46</v>
      </c>
      <c r="C24" s="13" t="n">
        <f aca="false">COUNTIFS(Data!$F$2:$F$136,$A24,Data!$I$2:$I$136,"EV")</f>
        <v>14</v>
      </c>
      <c r="D24" s="14" t="n">
        <f aca="false">C24/B24</f>
        <v>0.304347826086957</v>
      </c>
    </row>
    <row r="25" customFormat="false" ht="15" hidden="false" customHeight="false" outlineLevel="0" collapsed="false">
      <c r="A25" s="12" t="s">
        <v>42</v>
      </c>
      <c r="B25" s="13" t="n">
        <f aca="false">COUNTIF(Data!$F$2:$F$136,$A25)</f>
        <v>31</v>
      </c>
      <c r="C25" s="13" t="n">
        <f aca="false">COUNTIFS(Data!$F$2:$F$136,$A25,Data!$I$2:$I$136,"EV")</f>
        <v>9</v>
      </c>
      <c r="D25" s="14" t="n">
        <f aca="false">C25/B25</f>
        <v>0.290322580645161</v>
      </c>
    </row>
    <row r="36" customFormat="false" ht="15" hidden="false" customHeight="false" outlineLevel="0" collapsed="false">
      <c r="A36" s="7" t="s">
        <v>50</v>
      </c>
    </row>
    <row r="37" customFormat="false" ht="15" hidden="false" customHeight="false" outlineLevel="0" collapsed="false">
      <c r="A37" s="10" t="s">
        <v>16</v>
      </c>
      <c r="B37" s="11" t="s">
        <v>51</v>
      </c>
      <c r="C37" s="11" t="s">
        <v>52</v>
      </c>
      <c r="D37" s="11" t="s">
        <v>53</v>
      </c>
      <c r="E37" s="11" t="s">
        <v>54</v>
      </c>
      <c r="F37" s="11" t="s">
        <v>25</v>
      </c>
      <c r="G37" s="11" t="s">
        <v>48</v>
      </c>
    </row>
    <row r="38" customFormat="false" ht="15" hidden="false" customHeight="false" outlineLevel="0" collapsed="false">
      <c r="A38" s="12" t="s">
        <v>19</v>
      </c>
      <c r="B38" s="13" t="n">
        <f aca="false">COUNTIFS(Data!$H$2:$H$136,$A38,Data!$I$2:$I$136,B$37)</f>
        <v>22</v>
      </c>
      <c r="C38" s="13" t="n">
        <f aca="false">COUNTIFS(Data!$H$2:$H$136,$A38,Data!$I$2:$I$136,C$37)</f>
        <v>7</v>
      </c>
      <c r="D38" s="13" t="n">
        <f aca="false">COUNTIFS(Data!$H$2:$H$136,$A38,Data!$I$2:$I$136,D$37)</f>
        <v>4</v>
      </c>
      <c r="E38" s="13" t="n">
        <f aca="false">COUNTIFS(Data!$H$2:$H$136,$A38,Data!$I$2:$I$136,E$37)</f>
        <v>2</v>
      </c>
      <c r="F38" s="13" t="n">
        <f aca="false">SUM(B38:E38)</f>
        <v>35</v>
      </c>
      <c r="G38" s="14" t="n">
        <f aca="false">B38/F38</f>
        <v>0.628571428571429</v>
      </c>
    </row>
    <row r="39" customFormat="false" ht="15" hidden="false" customHeight="false" outlineLevel="0" collapsed="false">
      <c r="A39" s="12" t="s">
        <v>20</v>
      </c>
      <c r="B39" s="13" t="n">
        <f aca="false">COUNTIFS(Data!$H$2:$H$136,$A39,Data!$I$2:$I$136,B$37)</f>
        <v>3</v>
      </c>
      <c r="C39" s="13" t="n">
        <f aca="false">COUNTIFS(Data!$H$2:$H$136,$A39,Data!$I$2:$I$136,C$37)</f>
        <v>15</v>
      </c>
      <c r="D39" s="13" t="n">
        <f aca="false">COUNTIFS(Data!$H$2:$H$136,$A39,Data!$I$2:$I$136,D$37)</f>
        <v>5</v>
      </c>
      <c r="E39" s="13" t="n">
        <f aca="false">COUNTIFS(Data!$H$2:$H$136,$A39,Data!$I$2:$I$136,E$37)</f>
        <v>4</v>
      </c>
      <c r="F39" s="13" t="n">
        <f aca="false">SUM(B39:E39)</f>
        <v>27</v>
      </c>
      <c r="G39" s="14" t="n">
        <f aca="false">B39/F39</f>
        <v>0.111111111111111</v>
      </c>
    </row>
    <row r="40" customFormat="false" ht="15" hidden="false" customHeight="false" outlineLevel="0" collapsed="false">
      <c r="A40" s="12" t="s">
        <v>21</v>
      </c>
      <c r="B40" s="13" t="n">
        <f aca="false">COUNTIFS(Data!$H$2:$H$136,$A40,Data!$I$2:$I$136,B$37)</f>
        <v>3</v>
      </c>
      <c r="C40" s="13" t="n">
        <f aca="false">COUNTIFS(Data!$H$2:$H$136,$A40,Data!$I$2:$I$136,C$37)</f>
        <v>5</v>
      </c>
      <c r="D40" s="13" t="n">
        <f aca="false">COUNTIFS(Data!$H$2:$H$136,$A40,Data!$I$2:$I$136,D$37)</f>
        <v>13</v>
      </c>
      <c r="E40" s="13" t="n">
        <f aca="false">COUNTIFS(Data!$H$2:$H$136,$A40,Data!$I$2:$I$136,E$37)</f>
        <v>2</v>
      </c>
      <c r="F40" s="13" t="n">
        <f aca="false">SUM(B40:E40)</f>
        <v>23</v>
      </c>
      <c r="G40" s="14" t="n">
        <f aca="false">B40/F40</f>
        <v>0.130434782608696</v>
      </c>
    </row>
    <row r="41" customFormat="false" ht="15" hidden="false" customHeight="false" outlineLevel="0" collapsed="false">
      <c r="A41" s="12" t="s">
        <v>22</v>
      </c>
      <c r="B41" s="13" t="n">
        <f aca="false">COUNTIFS(Data!$H$2:$H$136,$A41,Data!$I$2:$I$136,B$37)</f>
        <v>7</v>
      </c>
      <c r="C41" s="13" t="n">
        <f aca="false">COUNTIFS(Data!$H$2:$H$136,$A41,Data!$I$2:$I$136,C$37)</f>
        <v>4</v>
      </c>
      <c r="D41" s="13" t="n">
        <f aca="false">COUNTIFS(Data!$H$2:$H$136,$A41,Data!$I$2:$I$136,D$37)</f>
        <v>2</v>
      </c>
      <c r="E41" s="13" t="n">
        <f aca="false">COUNTIFS(Data!$H$2:$H$136,$A41,Data!$I$2:$I$136,E$37)</f>
        <v>6</v>
      </c>
      <c r="F41" s="13" t="n">
        <f aca="false">SUM(B41:E41)</f>
        <v>19</v>
      </c>
      <c r="G41" s="14" t="n">
        <f aca="false">B41/F41</f>
        <v>0.368421052631579</v>
      </c>
    </row>
    <row r="42" customFormat="false" ht="15" hidden="false" customHeight="false" outlineLevel="0" collapsed="false">
      <c r="A42" s="12" t="s">
        <v>23</v>
      </c>
      <c r="B42" s="13" t="n">
        <f aca="false">COUNTIFS(Data!$H$2:$H$136,$A42,Data!$I$2:$I$136,B$37)</f>
        <v>2</v>
      </c>
      <c r="C42" s="13" t="n">
        <f aca="false">COUNTIFS(Data!$H$2:$H$136,$A42,Data!$I$2:$I$136,C$37)</f>
        <v>2</v>
      </c>
      <c r="D42" s="13" t="n">
        <f aca="false">COUNTIFS(Data!$H$2:$H$136,$A42,Data!$I$2:$I$136,D$37)</f>
        <v>9</v>
      </c>
      <c r="E42" s="13" t="n">
        <f aca="false">COUNTIFS(Data!$H$2:$H$136,$A42,Data!$I$2:$I$136,E$37)</f>
        <v>3</v>
      </c>
      <c r="F42" s="13" t="n">
        <f aca="false">SUM(B42:E42)</f>
        <v>16</v>
      </c>
      <c r="G42" s="14" t="n">
        <f aca="false">B42/F42</f>
        <v>0.125</v>
      </c>
    </row>
    <row r="43" customFormat="false" ht="15" hidden="false" customHeight="false" outlineLevel="0" collapsed="false">
      <c r="A43" s="12" t="s">
        <v>24</v>
      </c>
      <c r="B43" s="13" t="n">
        <f aca="false">COUNTIFS(Data!$H$2:$H$136,$A43,Data!$I$2:$I$136,B$37)</f>
        <v>5</v>
      </c>
      <c r="C43" s="13" t="n">
        <f aca="false">COUNTIFS(Data!$H$2:$H$136,$A43,Data!$I$2:$I$136,C$37)</f>
        <v>2</v>
      </c>
      <c r="D43" s="13" t="n">
        <f aca="false">COUNTIFS(Data!$H$2:$H$136,$A43,Data!$I$2:$I$136,D$37)</f>
        <v>6</v>
      </c>
      <c r="E43" s="13" t="n">
        <f aca="false">COUNTIFS(Data!$H$2:$H$136,$A43,Data!$I$2:$I$136,E$37)</f>
        <v>2</v>
      </c>
      <c r="F43" s="13" t="n">
        <f aca="false">SUM(B43:E43)</f>
        <v>15</v>
      </c>
      <c r="G43" s="14" t="n">
        <f aca="false">B43/F43</f>
        <v>0.333333333333333</v>
      </c>
    </row>
    <row r="52" customFormat="false" ht="15" hidden="false" customHeight="false" outlineLevel="0" collapsed="false">
      <c r="A52" s="7" t="s">
        <v>55</v>
      </c>
    </row>
    <row r="53" customFormat="false" ht="15" hidden="false" customHeight="false" outlineLevel="0" collapsed="false">
      <c r="A53" s="10" t="s">
        <v>56</v>
      </c>
      <c r="B53" s="11" t="s">
        <v>57</v>
      </c>
      <c r="C53" s="11" t="s">
        <v>2</v>
      </c>
      <c r="D53" s="11" t="s">
        <v>58</v>
      </c>
      <c r="E53" s="11" t="s">
        <v>59</v>
      </c>
    </row>
    <row r="54" customFormat="false" ht="15" hidden="false" customHeight="false" outlineLevel="0" collapsed="false">
      <c r="A54" s="12" t="s">
        <v>60</v>
      </c>
      <c r="B54" s="12" t="s">
        <v>61</v>
      </c>
      <c r="C54" s="13" t="n">
        <f aca="false">COUNTIF(Data!$M$2:$M$136,$B54)</f>
        <v>81</v>
      </c>
      <c r="D54" s="13" t="n">
        <f aca="false">COUNTIFS(Data!$M$2:$M$136,$B54,Data!$J$2:$J$136,"Automatic")</f>
        <v>31</v>
      </c>
      <c r="E54" s="14" t="n">
        <f aca="false">D54/C54</f>
        <v>0.382716049382716</v>
      </c>
    </row>
    <row r="55" customFormat="false" ht="15" hidden="false" customHeight="false" outlineLevel="0" collapsed="false">
      <c r="A55" s="12" t="s">
        <v>60</v>
      </c>
      <c r="B55" s="12" t="s">
        <v>62</v>
      </c>
      <c r="C55" s="13" t="n">
        <f aca="false">COUNTIF(Data!$M$2:$M$136,$B55)</f>
        <v>54</v>
      </c>
      <c r="D55" s="13" t="n">
        <f aca="false">COUNTIFS(Data!$M$2:$M$136,$B55,Data!$J$2:$J$136,"Automatic")</f>
        <v>46</v>
      </c>
      <c r="E55" s="14" t="n">
        <f aca="false">D55/C55</f>
        <v>0.851851851851852</v>
      </c>
    </row>
    <row r="56" customFormat="false" ht="15" hidden="false" customHeight="false" outlineLevel="0" collapsed="false">
      <c r="A56" s="12" t="s">
        <v>27</v>
      </c>
      <c r="B56" s="12" t="s">
        <v>29</v>
      </c>
      <c r="C56" s="13" t="n">
        <f aca="false">COUNTIF(Data!$C$2:$C$136,$B56)</f>
        <v>31</v>
      </c>
      <c r="D56" s="13" t="n">
        <f aca="false">COUNTIFS(Data!$C$2:$C$136,$B56,Data!$J$2:$J$136,"Automatic")</f>
        <v>14</v>
      </c>
      <c r="E56" s="14" t="n">
        <f aca="false">D56/C56</f>
        <v>0.451612903225806</v>
      </c>
    </row>
    <row r="57" customFormat="false" ht="15" hidden="false" customHeight="false" outlineLevel="0" collapsed="false">
      <c r="A57" s="12" t="s">
        <v>27</v>
      </c>
      <c r="B57" s="12" t="s">
        <v>30</v>
      </c>
      <c r="C57" s="13" t="n">
        <f aca="false">COUNTIF(Data!$C$2:$C$136,$B57)</f>
        <v>42</v>
      </c>
      <c r="D57" s="13" t="n">
        <f aca="false">COUNTIFS(Data!$C$2:$C$136,$B57,Data!$J$2:$J$136,"Automatic")</f>
        <v>19</v>
      </c>
      <c r="E57" s="14" t="n">
        <f aca="false">D57/C57</f>
        <v>0.452380952380952</v>
      </c>
    </row>
    <row r="58" customFormat="false" ht="15" hidden="false" customHeight="false" outlineLevel="0" collapsed="false">
      <c r="A58" s="12" t="s">
        <v>27</v>
      </c>
      <c r="B58" s="12" t="s">
        <v>31</v>
      </c>
      <c r="C58" s="13" t="n">
        <f aca="false">COUNTIF(Data!$C$2:$C$136,$B58)</f>
        <v>27</v>
      </c>
      <c r="D58" s="13" t="n">
        <f aca="false">COUNTIFS(Data!$C$2:$C$136,$B58,Data!$J$2:$J$136,"Automatic")</f>
        <v>19</v>
      </c>
      <c r="E58" s="14" t="n">
        <f aca="false">D58/C58</f>
        <v>0.703703703703704</v>
      </c>
    </row>
    <row r="59" customFormat="false" ht="15" hidden="false" customHeight="false" outlineLevel="0" collapsed="false">
      <c r="A59" s="12" t="s">
        <v>27</v>
      </c>
      <c r="B59" s="12" t="s">
        <v>32</v>
      </c>
      <c r="C59" s="13" t="n">
        <f aca="false">COUNTIF(Data!$C$2:$C$136,$B59)</f>
        <v>19</v>
      </c>
      <c r="D59" s="13" t="n">
        <f aca="false">COUNTIFS(Data!$C$2:$C$136,$B59,Data!$J$2:$J$136,"Automatic")</f>
        <v>15</v>
      </c>
      <c r="E59" s="14" t="n">
        <f aca="false">D59/C59</f>
        <v>0.789473684210526</v>
      </c>
    </row>
    <row r="60" customFormat="false" ht="15" hidden="false" customHeight="false" outlineLevel="0" collapsed="false">
      <c r="A60" s="12" t="s">
        <v>27</v>
      </c>
      <c r="B60" s="12" t="s">
        <v>33</v>
      </c>
      <c r="C60" s="13" t="n">
        <f aca="false">COUNTIF(Data!$C$2:$C$136,$B60)</f>
        <v>16</v>
      </c>
      <c r="D60" s="13" t="n">
        <f aca="false">COUNTIFS(Data!$C$2:$C$136,$B60,Data!$J$2:$J$136,"Automatic")</f>
        <v>10</v>
      </c>
      <c r="E60" s="14" t="n">
        <f aca="false">D60/C60</f>
        <v>0.625</v>
      </c>
    </row>
    <row r="62" customFormat="false" ht="15" hidden="false" customHeight="false" outlineLevel="0" collapsed="false">
      <c r="A62" s="18" t="s">
        <v>63</v>
      </c>
      <c r="E62" s="18" t="n">
        <f aca="false">COUNTIFS(Data!$M$2:$M$136,"Highway/Long Distance",Data!$AC$2:$AC$136,"Premium")</f>
        <v>54</v>
      </c>
    </row>
    <row r="63" customFormat="false" ht="15" hidden="false" customHeight="false" outlineLevel="0" collapsed="false">
      <c r="A63" s="19" t="s">
        <v>64</v>
      </c>
      <c r="E63" s="19" t="n">
        <f aca="false">COUNTIF(Data!$M$2:$M$136,"Highway/Long Distance")</f>
        <v>54</v>
      </c>
    </row>
    <row r="64" customFormat="false" ht="15" hidden="false" customHeight="false" outlineLevel="0" collapsed="false">
      <c r="A64" s="2" t="s">
        <v>65</v>
      </c>
    </row>
  </sheetData>
  <conditionalFormatting sqref="B38:E43">
    <cfRule type="colorScale" priority="2">
      <colorScale>
        <cfvo type="min" val="0"/>
        <cfvo type="max" val="0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7" t="s">
        <v>68</v>
      </c>
    </row>
    <row r="5" customFormat="false" ht="15" hidden="false" customHeight="false" outlineLevel="0" collapsed="false">
      <c r="A5" s="10" t="s">
        <v>35</v>
      </c>
      <c r="B5" s="11" t="s">
        <v>2</v>
      </c>
      <c r="C5" s="11" t="s">
        <v>69</v>
      </c>
      <c r="D5" s="11" t="s">
        <v>70</v>
      </c>
      <c r="E5" s="11" t="s">
        <v>71</v>
      </c>
      <c r="F5" s="11" t="s">
        <v>72</v>
      </c>
    </row>
    <row r="6" customFormat="false" ht="15" hidden="false" customHeight="false" outlineLevel="0" collapsed="false">
      <c r="A6" s="12" t="s">
        <v>39</v>
      </c>
      <c r="B6" s="13" t="n">
        <f aca="false">COUNTIF(Data!$F$2:$F$136,$A6)</f>
        <v>19</v>
      </c>
      <c r="C6" s="13" t="n">
        <f aca="false">COUNTIFS(Data!$F$2:$F$136,$A6,Data!$S$2:$S$136,C$5)</f>
        <v>14</v>
      </c>
      <c r="D6" s="13" t="n">
        <f aca="false">COUNTIFS(Data!$F$2:$F$136,$A6,Data!$S$2:$S$136,D$5)</f>
        <v>3</v>
      </c>
      <c r="E6" s="13" t="n">
        <f aca="false">COUNTIFS(Data!$F$2:$F$136,$A6,Data!$S$2:$S$136,E$5)</f>
        <v>2</v>
      </c>
      <c r="F6" s="14" t="n">
        <f aca="false">C6/B6</f>
        <v>0.736842105263158</v>
      </c>
    </row>
    <row r="7" customFormat="false" ht="15" hidden="false" customHeight="false" outlineLevel="0" collapsed="false">
      <c r="A7" s="12" t="s">
        <v>40</v>
      </c>
      <c r="B7" s="13" t="n">
        <f aca="false">COUNTIF(Data!$F$2:$F$136,$A7)</f>
        <v>39</v>
      </c>
      <c r="C7" s="13" t="n">
        <f aca="false">COUNTIFS(Data!$F$2:$F$136,$A7,Data!$S$2:$S$136,C$5)</f>
        <v>33</v>
      </c>
      <c r="D7" s="13" t="n">
        <f aca="false">COUNTIFS(Data!$F$2:$F$136,$A7,Data!$S$2:$S$136,D$5)</f>
        <v>2</v>
      </c>
      <c r="E7" s="13" t="n">
        <f aca="false">COUNTIFS(Data!$F$2:$F$136,$A7,Data!$S$2:$S$136,E$5)</f>
        <v>4</v>
      </c>
      <c r="F7" s="14" t="n">
        <f aca="false">C7/B7</f>
        <v>0.846153846153846</v>
      </c>
    </row>
    <row r="8" customFormat="false" ht="15" hidden="false" customHeight="false" outlineLevel="0" collapsed="false">
      <c r="A8" s="12" t="s">
        <v>41</v>
      </c>
      <c r="B8" s="13" t="n">
        <f aca="false">COUNTIF(Data!$F$2:$F$136,$A8)</f>
        <v>46</v>
      </c>
      <c r="C8" s="13" t="n">
        <f aca="false">COUNTIFS(Data!$F$2:$F$136,$A8,Data!$S$2:$S$136,C$5)</f>
        <v>31</v>
      </c>
      <c r="D8" s="13" t="n">
        <f aca="false">COUNTIFS(Data!$F$2:$F$136,$A8,Data!$S$2:$S$136,D$5)</f>
        <v>9</v>
      </c>
      <c r="E8" s="13" t="n">
        <f aca="false">COUNTIFS(Data!$F$2:$F$136,$A8,Data!$S$2:$S$136,E$5)</f>
        <v>6</v>
      </c>
      <c r="F8" s="14" t="n">
        <f aca="false">C8/B8</f>
        <v>0.673913043478261</v>
      </c>
    </row>
    <row r="9" customFormat="false" ht="15" hidden="false" customHeight="false" outlineLevel="0" collapsed="false">
      <c r="A9" s="12" t="s">
        <v>42</v>
      </c>
      <c r="B9" s="13" t="n">
        <f aca="false">COUNTIF(Data!$F$2:$F$136,$A9)</f>
        <v>31</v>
      </c>
      <c r="C9" s="13" t="n">
        <f aca="false">COUNTIFS(Data!$F$2:$F$136,$A9,Data!$S$2:$S$136,C$5)</f>
        <v>22</v>
      </c>
      <c r="D9" s="13" t="n">
        <f aca="false">COUNTIFS(Data!$F$2:$F$136,$A9,Data!$S$2:$S$136,D$5)</f>
        <v>5</v>
      </c>
      <c r="E9" s="13" t="n">
        <f aca="false">COUNTIFS(Data!$F$2:$F$136,$A9,Data!$S$2:$S$136,E$5)</f>
        <v>4</v>
      </c>
      <c r="F9" s="14" t="n">
        <f aca="false">C9/B9</f>
        <v>0.709677419354839</v>
      </c>
    </row>
    <row r="20" customFormat="false" ht="15" hidden="false" customHeight="false" outlineLevel="0" collapsed="false">
      <c r="A20" s="7" t="s">
        <v>73</v>
      </c>
    </row>
    <row r="21" customFormat="false" ht="15" hidden="false" customHeight="false" outlineLevel="0" collapsed="false">
      <c r="A21" s="10" t="s">
        <v>27</v>
      </c>
      <c r="B21" s="11" t="s">
        <v>2</v>
      </c>
      <c r="C21" s="11" t="s">
        <v>69</v>
      </c>
      <c r="D21" s="11" t="s">
        <v>70</v>
      </c>
      <c r="E21" s="11" t="s">
        <v>71</v>
      </c>
      <c r="F21" s="11" t="s">
        <v>72</v>
      </c>
    </row>
    <row r="22" customFormat="false" ht="15" hidden="false" customHeight="false" outlineLevel="0" collapsed="false">
      <c r="A22" s="12" t="s">
        <v>29</v>
      </c>
      <c r="B22" s="13" t="n">
        <f aca="false">COUNTIF(Data!$C$2:$C$136,$A22)</f>
        <v>31</v>
      </c>
      <c r="C22" s="13" t="n">
        <f aca="false">COUNTIFS(Data!$C$2:$C$136,$A22,Data!$S$2:$S$136,C$21)</f>
        <v>22</v>
      </c>
      <c r="D22" s="13" t="n">
        <f aca="false">COUNTIFS(Data!$C$2:$C$136,$A22,Data!$S$2:$S$136,D$21)</f>
        <v>9</v>
      </c>
      <c r="E22" s="13" t="n">
        <f aca="false">COUNTIFS(Data!$C$2:$C$136,$A22,Data!$S$2:$S$136,E$21)</f>
        <v>0</v>
      </c>
      <c r="F22" s="14" t="n">
        <f aca="false">C22/B22</f>
        <v>0.709677419354839</v>
      </c>
    </row>
    <row r="23" customFormat="false" ht="15" hidden="false" customHeight="false" outlineLevel="0" collapsed="false">
      <c r="A23" s="12" t="s">
        <v>30</v>
      </c>
      <c r="B23" s="13" t="n">
        <f aca="false">COUNTIF(Data!$C$2:$C$136,$A23)</f>
        <v>42</v>
      </c>
      <c r="C23" s="13" t="n">
        <f aca="false">COUNTIFS(Data!$C$2:$C$136,$A23,Data!$S$2:$S$136,C$21)</f>
        <v>36</v>
      </c>
      <c r="D23" s="13" t="n">
        <f aca="false">COUNTIFS(Data!$C$2:$C$136,$A23,Data!$S$2:$S$136,D$21)</f>
        <v>5</v>
      </c>
      <c r="E23" s="13" t="n">
        <f aca="false">COUNTIFS(Data!$C$2:$C$136,$A23,Data!$S$2:$S$136,E$21)</f>
        <v>1</v>
      </c>
      <c r="F23" s="14" t="n">
        <f aca="false">C23/B23</f>
        <v>0.857142857142857</v>
      </c>
    </row>
    <row r="24" customFormat="false" ht="15" hidden="false" customHeight="false" outlineLevel="0" collapsed="false">
      <c r="A24" s="12" t="s">
        <v>31</v>
      </c>
      <c r="B24" s="13" t="n">
        <f aca="false">COUNTIF(Data!$C$2:$C$136,$A24)</f>
        <v>27</v>
      </c>
      <c r="C24" s="13" t="n">
        <f aca="false">COUNTIFS(Data!$C$2:$C$136,$A24,Data!$S$2:$S$136,C$21)</f>
        <v>22</v>
      </c>
      <c r="D24" s="13" t="n">
        <f aca="false">COUNTIFS(Data!$C$2:$C$136,$A24,Data!$S$2:$S$136,D$21)</f>
        <v>5</v>
      </c>
      <c r="E24" s="13" t="n">
        <f aca="false">COUNTIFS(Data!$C$2:$C$136,$A24,Data!$S$2:$S$136,E$21)</f>
        <v>0</v>
      </c>
      <c r="F24" s="14" t="n">
        <f aca="false">C24/B24</f>
        <v>0.814814814814815</v>
      </c>
    </row>
    <row r="25" customFormat="false" ht="15" hidden="false" customHeight="false" outlineLevel="0" collapsed="false">
      <c r="A25" s="12" t="s">
        <v>32</v>
      </c>
      <c r="B25" s="13" t="n">
        <f aca="false">COUNTIF(Data!$C$2:$C$136,$A25)</f>
        <v>19</v>
      </c>
      <c r="C25" s="13" t="n">
        <f aca="false">COUNTIFS(Data!$C$2:$C$136,$A25,Data!$S$2:$S$136,C$21)</f>
        <v>11</v>
      </c>
      <c r="D25" s="13" t="n">
        <f aca="false">COUNTIFS(Data!$C$2:$C$136,$A25,Data!$S$2:$S$136,D$21)</f>
        <v>0</v>
      </c>
      <c r="E25" s="13" t="n">
        <f aca="false">COUNTIFS(Data!$C$2:$C$136,$A25,Data!$S$2:$S$136,E$21)</f>
        <v>8</v>
      </c>
      <c r="F25" s="14" t="n">
        <f aca="false">C25/B25</f>
        <v>0.578947368421053</v>
      </c>
    </row>
    <row r="26" customFormat="false" ht="15" hidden="false" customHeight="false" outlineLevel="0" collapsed="false">
      <c r="A26" s="12" t="s">
        <v>33</v>
      </c>
      <c r="B26" s="13" t="n">
        <f aca="false">COUNTIF(Data!$C$2:$C$136,$A26)</f>
        <v>16</v>
      </c>
      <c r="C26" s="13" t="n">
        <f aca="false">COUNTIFS(Data!$C$2:$C$136,$A26,Data!$S$2:$S$136,C$21)</f>
        <v>9</v>
      </c>
      <c r="D26" s="13" t="n">
        <f aca="false">COUNTIFS(Data!$C$2:$C$136,$A26,Data!$S$2:$S$136,D$21)</f>
        <v>0</v>
      </c>
      <c r="E26" s="13" t="n">
        <f aca="false">COUNTIFS(Data!$C$2:$C$136,$A26,Data!$S$2:$S$136,E$21)</f>
        <v>7</v>
      </c>
      <c r="F26" s="14" t="n">
        <f aca="false">C26/B26</f>
        <v>0.5625</v>
      </c>
    </row>
    <row r="36" customFormat="false" ht="15" hidden="false" customHeight="false" outlineLevel="0" collapsed="false">
      <c r="A36" s="7" t="s">
        <v>74</v>
      </c>
    </row>
    <row r="37" customFormat="false" ht="15" hidden="false" customHeight="false" outlineLevel="0" collapsed="false">
      <c r="A37" s="10" t="s">
        <v>27</v>
      </c>
      <c r="B37" s="11" t="s">
        <v>2</v>
      </c>
      <c r="C37" s="11" t="s">
        <v>75</v>
      </c>
      <c r="D37" s="11" t="s">
        <v>76</v>
      </c>
      <c r="E37" s="11" t="s">
        <v>77</v>
      </c>
      <c r="F37" s="11" t="s">
        <v>78</v>
      </c>
    </row>
    <row r="38" customFormat="false" ht="15" hidden="false" customHeight="false" outlineLevel="0" collapsed="false">
      <c r="A38" s="12" t="s">
        <v>29</v>
      </c>
      <c r="B38" s="13" t="n">
        <f aca="false">COUNTIF(Data!$C$2:$C$136,$A38)</f>
        <v>31</v>
      </c>
      <c r="C38" s="13" t="n">
        <f aca="false">COUNTIFS(Data!$C$2:$C$136,$A38,Data!$R$2:$R$136,C$37)</f>
        <v>10</v>
      </c>
      <c r="D38" s="13" t="n">
        <f aca="false">COUNTIFS(Data!$C$2:$C$136,$A38,Data!$R$2:$R$136,D$37)</f>
        <v>8</v>
      </c>
      <c r="E38" s="13" t="n">
        <f aca="false">COUNTIFS(Data!$C$2:$C$136,$A38,Data!$R$2:$R$136,E$37)</f>
        <v>13</v>
      </c>
      <c r="F38" s="12" t="str">
        <f aca="false">INDEX($C$37:$E$37,MATCH(MAX(C38:E38),C38:E38,0))</f>
        <v>Word of Mouth</v>
      </c>
    </row>
    <row r="39" customFormat="false" ht="15" hidden="false" customHeight="false" outlineLevel="0" collapsed="false">
      <c r="A39" s="12" t="s">
        <v>30</v>
      </c>
      <c r="B39" s="13" t="n">
        <f aca="false">COUNTIF(Data!$C$2:$C$136,$A39)</f>
        <v>42</v>
      </c>
      <c r="C39" s="13" t="n">
        <f aca="false">COUNTIFS(Data!$C$2:$C$136,$A39,Data!$R$2:$R$136,C$37)</f>
        <v>14</v>
      </c>
      <c r="D39" s="13" t="n">
        <f aca="false">COUNTIFS(Data!$C$2:$C$136,$A39,Data!$R$2:$R$136,D$37)</f>
        <v>12</v>
      </c>
      <c r="E39" s="13" t="n">
        <f aca="false">COUNTIFS(Data!$C$2:$C$136,$A39,Data!$R$2:$R$136,E$37)</f>
        <v>16</v>
      </c>
      <c r="F39" s="12" t="str">
        <f aca="false">INDEX($C$37:$E$37,MATCH(MAX(C39:E39),C39:E39,0))</f>
        <v>Word of Mouth</v>
      </c>
    </row>
    <row r="40" customFormat="false" ht="15" hidden="false" customHeight="false" outlineLevel="0" collapsed="false">
      <c r="A40" s="12" t="s">
        <v>31</v>
      </c>
      <c r="B40" s="13" t="n">
        <f aca="false">COUNTIF(Data!$C$2:$C$136,$A40)</f>
        <v>27</v>
      </c>
      <c r="C40" s="13" t="n">
        <f aca="false">COUNTIFS(Data!$C$2:$C$136,$A40,Data!$R$2:$R$136,C$37)</f>
        <v>8</v>
      </c>
      <c r="D40" s="13" t="n">
        <f aca="false">COUNTIFS(Data!$C$2:$C$136,$A40,Data!$R$2:$R$136,D$37)</f>
        <v>7</v>
      </c>
      <c r="E40" s="13" t="n">
        <f aca="false">COUNTIFS(Data!$C$2:$C$136,$A40,Data!$R$2:$R$136,E$37)</f>
        <v>12</v>
      </c>
      <c r="F40" s="12" t="str">
        <f aca="false">INDEX($C$37:$E$37,MATCH(MAX(C40:E40),C40:E40,0))</f>
        <v>Word of Mouth</v>
      </c>
    </row>
    <row r="41" customFormat="false" ht="15" hidden="false" customHeight="false" outlineLevel="0" collapsed="false">
      <c r="A41" s="12" t="s">
        <v>32</v>
      </c>
      <c r="B41" s="13" t="n">
        <f aca="false">COUNTIF(Data!$C$2:$C$136,$A41)</f>
        <v>19</v>
      </c>
      <c r="C41" s="13" t="n">
        <f aca="false">COUNTIFS(Data!$C$2:$C$136,$A41,Data!$R$2:$R$136,C$37)</f>
        <v>10</v>
      </c>
      <c r="D41" s="13" t="n">
        <f aca="false">COUNTIFS(Data!$C$2:$C$136,$A41,Data!$R$2:$R$136,D$37)</f>
        <v>6</v>
      </c>
      <c r="E41" s="13" t="n">
        <f aca="false">COUNTIFS(Data!$C$2:$C$136,$A41,Data!$R$2:$R$136,E$37)</f>
        <v>3</v>
      </c>
      <c r="F41" s="12" t="str">
        <f aca="false">INDEX($C$37:$E$37,MATCH(MAX(C41:E41),C41:E41,0))</f>
        <v>Website</v>
      </c>
    </row>
    <row r="42" customFormat="false" ht="15" hidden="false" customHeight="false" outlineLevel="0" collapsed="false">
      <c r="A42" s="12" t="s">
        <v>33</v>
      </c>
      <c r="B42" s="13" t="n">
        <f aca="false">COUNTIF(Data!$C$2:$C$136,$A42)</f>
        <v>16</v>
      </c>
      <c r="C42" s="13" t="n">
        <f aca="false">COUNTIFS(Data!$C$2:$C$136,$A42,Data!$R$2:$R$136,C$37)</f>
        <v>8</v>
      </c>
      <c r="D42" s="13" t="n">
        <f aca="false">COUNTIFS(Data!$C$2:$C$136,$A42,Data!$R$2:$R$136,D$37)</f>
        <v>5</v>
      </c>
      <c r="E42" s="13" t="n">
        <f aca="false">COUNTIFS(Data!$C$2:$C$136,$A42,Data!$R$2:$R$136,E$37)</f>
        <v>3</v>
      </c>
      <c r="F42" s="12" t="str">
        <f aca="false">INDEX($C$37:$E$37,MATCH(MAX(C42:E42),C42:E42,0))</f>
        <v>Website</v>
      </c>
    </row>
  </sheetData>
  <conditionalFormatting sqref="C38:E42">
    <cfRule type="colorScale" priority="2">
      <colorScale>
        <cfvo type="min" val="0"/>
        <cfvo type="max" val="0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9" min="3" style="0" width="15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7" t="s">
        <v>81</v>
      </c>
    </row>
    <row r="5" customFormat="false" ht="15" hidden="false" customHeight="false" outlineLevel="0" collapsed="false">
      <c r="A5" s="10" t="s">
        <v>82</v>
      </c>
      <c r="B5" s="11" t="s">
        <v>2</v>
      </c>
      <c r="C5" s="11" t="s">
        <v>83</v>
      </c>
      <c r="D5" s="11" t="s">
        <v>84</v>
      </c>
      <c r="E5" s="11" t="s">
        <v>85</v>
      </c>
      <c r="F5" s="11" t="s">
        <v>86</v>
      </c>
      <c r="G5" s="11" t="s">
        <v>87</v>
      </c>
      <c r="H5" s="11" t="s">
        <v>88</v>
      </c>
    </row>
    <row r="6" customFormat="false" ht="15" hidden="false" customHeight="false" outlineLevel="0" collapsed="false">
      <c r="A6" s="12" t="s">
        <v>89</v>
      </c>
      <c r="B6" s="13" t="n">
        <f aca="false">COUNTIF(Data!$U$2:$U$136,$A6)</f>
        <v>58</v>
      </c>
      <c r="C6" s="13" t="n">
        <f aca="false">COUNTIFS(Data!$U$2:$U$136,$A6,Data!$AB$2:$AB$136,"Software Instability")</f>
        <v>36</v>
      </c>
      <c r="D6" s="13" t="n">
        <f aca="false">COUNTIFS(Data!$U$2:$U$136,$A6,Data!$AB$2:$AB$136,"Service Competence &amp; Capacity")</f>
        <v>22</v>
      </c>
      <c r="E6" s="13" t="n">
        <f aca="false">COUNTIFS(Data!$U$2:$U$136,$A6,Data!$AB$2:$AB$136,"Fit &amp; Finish")</f>
        <v>0</v>
      </c>
      <c r="F6" s="14" t="n">
        <f aca="false">C6/$B6</f>
        <v>0.620689655172414</v>
      </c>
      <c r="G6" s="14" t="n">
        <f aca="false">D6/$B6</f>
        <v>0.379310344827586</v>
      </c>
      <c r="H6" s="14" t="n">
        <f aca="false">E6/$B6</f>
        <v>0</v>
      </c>
    </row>
    <row r="7" customFormat="false" ht="15" hidden="false" customHeight="false" outlineLevel="0" collapsed="false">
      <c r="A7" s="12" t="s">
        <v>90</v>
      </c>
      <c r="B7" s="13" t="n">
        <f aca="false">COUNTIF(Data!$U$2:$U$136,$A7)</f>
        <v>42</v>
      </c>
      <c r="C7" s="13" t="n">
        <f aca="false">COUNTIFS(Data!$U$2:$U$136,$A7,Data!$AB$2:$AB$136,"Software Instability")</f>
        <v>0</v>
      </c>
      <c r="D7" s="13" t="n">
        <f aca="false">COUNTIFS(Data!$U$2:$U$136,$A7,Data!$AB$2:$AB$136,"Service Competence &amp; Capacity")</f>
        <v>18</v>
      </c>
      <c r="E7" s="13" t="n">
        <f aca="false">COUNTIFS(Data!$U$2:$U$136,$A7,Data!$AB$2:$AB$136,"Fit &amp; Finish")</f>
        <v>24</v>
      </c>
      <c r="F7" s="14" t="n">
        <f aca="false">C7/$B7</f>
        <v>0</v>
      </c>
      <c r="G7" s="14" t="n">
        <f aca="false">D7/$B7</f>
        <v>0.428571428571429</v>
      </c>
      <c r="H7" s="14" t="n">
        <f aca="false">E7/$B7</f>
        <v>0.571428571428571</v>
      </c>
    </row>
    <row r="8" customFormat="false" ht="15" hidden="false" customHeight="false" outlineLevel="0" collapsed="false">
      <c r="A8" s="12" t="s">
        <v>91</v>
      </c>
      <c r="B8" s="13" t="n">
        <f aca="false">COUNTIF(Data!$U$2:$U$136,$A8)</f>
        <v>35</v>
      </c>
      <c r="C8" s="13" t="n">
        <f aca="false">COUNTIFS(Data!$U$2:$U$136,$A8,Data!$AB$2:$AB$136,"Software Instability")</f>
        <v>0</v>
      </c>
      <c r="D8" s="13" t="n">
        <f aca="false">COUNTIFS(Data!$U$2:$U$136,$A8,Data!$AB$2:$AB$136,"Service Competence &amp; Capacity")</f>
        <v>0</v>
      </c>
      <c r="E8" s="13" t="n">
        <f aca="false">COUNTIFS(Data!$U$2:$U$136,$A8,Data!$AB$2:$AB$136,"Fit &amp; Finish")</f>
        <v>35</v>
      </c>
      <c r="F8" s="14" t="n">
        <f aca="false">C8/$B8</f>
        <v>0</v>
      </c>
      <c r="G8" s="14" t="n">
        <f aca="false">D8/$B8</f>
        <v>0</v>
      </c>
      <c r="H8" s="14" t="n">
        <f aca="false">E8/$B8</f>
        <v>1</v>
      </c>
    </row>
    <row r="9" customFormat="false" ht="15" hidden="false" customHeight="false" outlineLevel="0" collapsed="false">
      <c r="A9" s="2" t="s">
        <v>92</v>
      </c>
    </row>
    <row r="20" customFormat="false" ht="15" hidden="false" customHeight="false" outlineLevel="0" collapsed="false">
      <c r="A20" s="7" t="s">
        <v>93</v>
      </c>
    </row>
    <row r="21" customFormat="false" ht="15" hidden="false" customHeight="false" outlineLevel="0" collapsed="false">
      <c r="A21" s="10" t="s">
        <v>94</v>
      </c>
      <c r="B21" s="11" t="s">
        <v>95</v>
      </c>
      <c r="C21" s="11" t="s">
        <v>2</v>
      </c>
      <c r="D21" s="11" t="s">
        <v>17</v>
      </c>
      <c r="E21" s="11" t="s">
        <v>96</v>
      </c>
    </row>
    <row r="22" customFormat="false" ht="15" hidden="false" customHeight="false" outlineLevel="0" collapsed="false">
      <c r="A22" s="12" t="s">
        <v>97</v>
      </c>
      <c r="B22" s="12" t="s">
        <v>85</v>
      </c>
      <c r="C22" s="13" t="n">
        <f aca="false">COUNTIF(Data!$AA$2:$AA$136,$A22)</f>
        <v>24</v>
      </c>
      <c r="D22" s="14" t="n">
        <f aca="false">C22/COUNTA(Data!$A$2:$A$136)</f>
        <v>0.177777777777778</v>
      </c>
      <c r="E22" s="14" t="n">
        <f aca="false">SUM($D$22:D22)</f>
        <v>0.177777777777778</v>
      </c>
    </row>
    <row r="23" customFormat="false" ht="15" hidden="false" customHeight="false" outlineLevel="0" collapsed="false">
      <c r="A23" s="12" t="s">
        <v>98</v>
      </c>
      <c r="B23" s="12" t="s">
        <v>99</v>
      </c>
      <c r="C23" s="13" t="n">
        <f aca="false">COUNTIF(Data!$AA$2:$AA$136,$A23)</f>
        <v>22</v>
      </c>
      <c r="D23" s="14" t="n">
        <f aca="false">C23/COUNTA(Data!$A$2:$A$136)</f>
        <v>0.162962962962963</v>
      </c>
      <c r="E23" s="14" t="n">
        <f aca="false">SUM($D$22:D23)</f>
        <v>0.340740740740741</v>
      </c>
    </row>
    <row r="24" customFormat="false" ht="15" hidden="false" customHeight="false" outlineLevel="0" collapsed="false">
      <c r="A24" s="12" t="s">
        <v>100</v>
      </c>
      <c r="B24" s="12" t="s">
        <v>101</v>
      </c>
      <c r="C24" s="13" t="n">
        <f aca="false">COUNTIF(Data!$AA$2:$AA$136,$A24)</f>
        <v>22</v>
      </c>
      <c r="D24" s="14" t="n">
        <f aca="false">C24/COUNTA(Data!$A$2:$A$136)</f>
        <v>0.162962962962963</v>
      </c>
      <c r="E24" s="14" t="n">
        <f aca="false">SUM($D$22:D24)</f>
        <v>0.503703703703704</v>
      </c>
    </row>
    <row r="25" customFormat="false" ht="15" hidden="false" customHeight="false" outlineLevel="0" collapsed="false">
      <c r="A25" s="12" t="s">
        <v>102</v>
      </c>
      <c r="B25" s="12" t="s">
        <v>85</v>
      </c>
      <c r="C25" s="13" t="n">
        <f aca="false">COUNTIF(Data!$AA$2:$AA$136,$A25)</f>
        <v>20</v>
      </c>
      <c r="D25" s="14" t="n">
        <f aca="false">C25/COUNTA(Data!$A$2:$A$136)</f>
        <v>0.148148148148148</v>
      </c>
      <c r="E25" s="14" t="n">
        <f aca="false">SUM($D$22:D25)</f>
        <v>0.651851851851852</v>
      </c>
    </row>
    <row r="26" customFormat="false" ht="15" hidden="false" customHeight="false" outlineLevel="0" collapsed="false">
      <c r="A26" s="12" t="s">
        <v>103</v>
      </c>
      <c r="B26" s="12" t="s">
        <v>99</v>
      </c>
      <c r="C26" s="13" t="n">
        <f aca="false">COUNTIF(Data!$AA$2:$AA$136,$A26)</f>
        <v>18</v>
      </c>
      <c r="D26" s="14" t="n">
        <f aca="false">C26/COUNTA(Data!$A$2:$A$136)</f>
        <v>0.133333333333333</v>
      </c>
      <c r="E26" s="14" t="n">
        <f aca="false">SUM($D$22:D26)</f>
        <v>0.785185185185185</v>
      </c>
    </row>
    <row r="27" customFormat="false" ht="15" hidden="false" customHeight="false" outlineLevel="0" collapsed="false">
      <c r="A27" s="12" t="s">
        <v>104</v>
      </c>
      <c r="B27" s="12" t="s">
        <v>85</v>
      </c>
      <c r="C27" s="13" t="n">
        <f aca="false">COUNTIF(Data!$AA$2:$AA$136,$A27)</f>
        <v>15</v>
      </c>
      <c r="D27" s="14" t="n">
        <f aca="false">C27/COUNTA(Data!$A$2:$A$136)</f>
        <v>0.111111111111111</v>
      </c>
      <c r="E27" s="14" t="n">
        <f aca="false">SUM($D$22:D27)</f>
        <v>0.896296296296296</v>
      </c>
    </row>
    <row r="28" customFormat="false" ht="15" hidden="false" customHeight="false" outlineLevel="0" collapsed="false">
      <c r="A28" s="12" t="s">
        <v>105</v>
      </c>
      <c r="B28" s="12" t="s">
        <v>101</v>
      </c>
      <c r="C28" s="13" t="n">
        <f aca="false">COUNTIF(Data!$AA$2:$AA$136,$A28)</f>
        <v>14</v>
      </c>
      <c r="D28" s="14" t="n">
        <f aca="false">C28/COUNTA(Data!$A$2:$A$136)</f>
        <v>0.103703703703704</v>
      </c>
      <c r="E28" s="14" t="n">
        <f aca="false">SUM($D$22:D28)</f>
        <v>1</v>
      </c>
    </row>
    <row r="29" customFormat="false" ht="15" hidden="false" customHeight="false" outlineLevel="0" collapsed="false">
      <c r="A29" s="15" t="s">
        <v>25</v>
      </c>
      <c r="B29" s="15"/>
      <c r="C29" s="16" t="n">
        <f aca="false">SUM(C22:C28)</f>
        <v>135</v>
      </c>
      <c r="D29" s="17" t="n">
        <f aca="false">SUM(D22:D28)</f>
        <v>1</v>
      </c>
      <c r="E29" s="17"/>
    </row>
    <row r="34" customFormat="false" ht="15" hidden="false" customHeight="false" outlineLevel="0" collapsed="false">
      <c r="A34" s="7" t="s">
        <v>106</v>
      </c>
    </row>
    <row r="35" customFormat="false" ht="15" hidden="false" customHeight="false" outlineLevel="0" collapsed="false">
      <c r="A35" s="10" t="s">
        <v>82</v>
      </c>
      <c r="B35" s="11" t="s">
        <v>2</v>
      </c>
      <c r="C35" s="11" t="s">
        <v>107</v>
      </c>
      <c r="D35" s="11" t="s">
        <v>108</v>
      </c>
    </row>
    <row r="36" customFormat="false" ht="15" hidden="false" customHeight="false" outlineLevel="0" collapsed="false">
      <c r="A36" s="12" t="s">
        <v>89</v>
      </c>
      <c r="B36" s="13" t="n">
        <f aca="false">COUNTIF(Data!$U$2:$U$136,$A36)</f>
        <v>58</v>
      </c>
      <c r="C36" s="13" t="n">
        <f aca="false">COUNTIFS(Data!$U$2:$U$136,$A36,Data!$Y$2:$Y$136,"No")</f>
        <v>0</v>
      </c>
      <c r="D36" s="14" t="n">
        <f aca="false">C36/B36</f>
        <v>0</v>
      </c>
    </row>
    <row r="37" customFormat="false" ht="15" hidden="false" customHeight="false" outlineLevel="0" collapsed="false">
      <c r="A37" s="12" t="s">
        <v>90</v>
      </c>
      <c r="B37" s="13" t="n">
        <f aca="false">COUNTIF(Data!$U$2:$U$136,$A37)</f>
        <v>42</v>
      </c>
      <c r="C37" s="13" t="n">
        <f aca="false">COUNTIFS(Data!$U$2:$U$136,$A37,Data!$Y$2:$Y$136,"No")</f>
        <v>21</v>
      </c>
      <c r="D37" s="14" t="n">
        <f aca="false">C37/B37</f>
        <v>0.5</v>
      </c>
    </row>
    <row r="38" customFormat="false" ht="15" hidden="false" customHeight="false" outlineLevel="0" collapsed="false">
      <c r="A38" s="12" t="s">
        <v>91</v>
      </c>
      <c r="B38" s="13" t="n">
        <f aca="false">COUNTIF(Data!$U$2:$U$136,$A38)</f>
        <v>35</v>
      </c>
      <c r="C38" s="13" t="n">
        <f aca="false">COUNTIFS(Data!$U$2:$U$136,$A38,Data!$Y$2:$Y$136,"No")</f>
        <v>0</v>
      </c>
      <c r="D38" s="14" t="n">
        <f aca="false">C38/B38</f>
        <v>0</v>
      </c>
    </row>
  </sheetData>
  <conditionalFormatting sqref="C6:E8">
    <cfRule type="colorScale" priority="2">
      <colorScale>
        <cfvo type="min" val="0"/>
        <cfvo type="max" val="0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5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7" t="s">
        <v>111</v>
      </c>
    </row>
    <row r="5" customFormat="false" ht="23.85" hidden="false" customHeight="false" outlineLevel="0" collapsed="false">
      <c r="A5" s="10" t="s">
        <v>57</v>
      </c>
      <c r="B5" s="11" t="s">
        <v>2</v>
      </c>
      <c r="C5" s="11" t="s">
        <v>17</v>
      </c>
      <c r="D5" s="11" t="s">
        <v>48</v>
      </c>
      <c r="E5" s="11" t="s">
        <v>59</v>
      </c>
      <c r="F5" s="11" t="s">
        <v>72</v>
      </c>
      <c r="G5" s="11" t="s">
        <v>112</v>
      </c>
      <c r="H5" s="11" t="s">
        <v>113</v>
      </c>
    </row>
    <row r="6" customFormat="false" ht="15" hidden="false" customHeight="false" outlineLevel="0" collapsed="false">
      <c r="A6" s="12" t="s">
        <v>114</v>
      </c>
      <c r="B6" s="13" t="n">
        <f aca="false">COUNTIF(Data!$AD$2:$AD$136,$A6)</f>
        <v>31</v>
      </c>
      <c r="C6" s="14" t="n">
        <f aca="false">B6/COUNTA(Data!$A$2:$A$136)</f>
        <v>0.22962962962963</v>
      </c>
      <c r="D6" s="14" t="n">
        <f aca="false">COUNTIFS(Data!$AD$2:$AD$136,$A6,Data!$I$2:$I$136,"EV")/$B6</f>
        <v>0.225806451612903</v>
      </c>
      <c r="E6" s="14" t="n">
        <f aca="false">COUNTIFS(Data!$AD$2:$AD$136,$A6,Data!$J$2:$J$136,"Automatic")/$B6</f>
        <v>0.451612903225806</v>
      </c>
      <c r="F6" s="14" t="n">
        <f aca="false">COUNTIFS(Data!$AD$2:$AD$136,$A6,Data!$S$2:$S$136,"Loan")/$B6</f>
        <v>0.709677419354839</v>
      </c>
      <c r="G6" s="14" t="n">
        <f aca="false">COUNTIFS(Data!$AD$2:$AD$136,$A6,Data!$AC$2:$AC$136,"Premium")/$B6</f>
        <v>0.0967741935483871</v>
      </c>
      <c r="H6" s="20" t="n">
        <f aca="false">AVERAGEIFS(Data!$L$2:$L$136,Data!$AD$2:$AD$136,$A6)</f>
        <v>2.48387096774194</v>
      </c>
    </row>
    <row r="7" customFormat="false" ht="15" hidden="false" customHeight="false" outlineLevel="0" collapsed="false">
      <c r="A7" s="12" t="s">
        <v>115</v>
      </c>
      <c r="B7" s="13" t="n">
        <f aca="false">COUNTIF(Data!$AD$2:$AD$136,$A7)</f>
        <v>42</v>
      </c>
      <c r="C7" s="14" t="n">
        <f aca="false">B7/COUNTA(Data!$A$2:$A$136)</f>
        <v>0.311111111111111</v>
      </c>
      <c r="D7" s="14" t="n">
        <f aca="false">COUNTIFS(Data!$AD$2:$AD$136,$A7,Data!$I$2:$I$136,"EV")/$B7</f>
        <v>0.5</v>
      </c>
      <c r="E7" s="14" t="n">
        <f aca="false">COUNTIFS(Data!$AD$2:$AD$136,$A7,Data!$J$2:$J$136,"Automatic")/$B7</f>
        <v>0.452380952380952</v>
      </c>
      <c r="F7" s="14" t="n">
        <f aca="false">COUNTIFS(Data!$AD$2:$AD$136,$A7,Data!$S$2:$S$136,"Loan")/$B7</f>
        <v>0.857142857142857</v>
      </c>
      <c r="G7" s="14" t="n">
        <f aca="false">COUNTIFS(Data!$AD$2:$AD$136,$A7,Data!$AC$2:$AC$136,"Premium")/$B7</f>
        <v>0.261904761904762</v>
      </c>
      <c r="H7" s="20" t="n">
        <f aca="false">AVERAGEIFS(Data!$L$2:$L$136,Data!$AD$2:$AD$136,$A7)</f>
        <v>2.85714285714286</v>
      </c>
    </row>
    <row r="8" customFormat="false" ht="15" hidden="false" customHeight="false" outlineLevel="0" collapsed="false">
      <c r="A8" s="12" t="s">
        <v>116</v>
      </c>
      <c r="B8" s="13" t="n">
        <f aca="false">COUNTIF(Data!$AD$2:$AD$136,$A8)</f>
        <v>27</v>
      </c>
      <c r="C8" s="14" t="n">
        <f aca="false">B8/COUNTA(Data!$A$2:$A$136)</f>
        <v>0.2</v>
      </c>
      <c r="D8" s="14" t="n">
        <f aca="false">COUNTIFS(Data!$AD$2:$AD$136,$A8,Data!$I$2:$I$136,"EV")/$B8</f>
        <v>0.148148148148148</v>
      </c>
      <c r="E8" s="14" t="n">
        <f aca="false">COUNTIFS(Data!$AD$2:$AD$136,$A8,Data!$J$2:$J$136,"Automatic")/$B8</f>
        <v>0.703703703703704</v>
      </c>
      <c r="F8" s="14" t="n">
        <f aca="false">COUNTIFS(Data!$AD$2:$AD$136,$A8,Data!$S$2:$S$136,"Loan")/$B8</f>
        <v>0.814814814814815</v>
      </c>
      <c r="G8" s="14" t="n">
        <f aca="false">COUNTIFS(Data!$AD$2:$AD$136,$A8,Data!$AC$2:$AC$136,"Premium")/$B8</f>
        <v>0.814814814814815</v>
      </c>
      <c r="H8" s="20" t="n">
        <f aca="false">AVERAGEIFS(Data!$L$2:$L$136,Data!$AD$2:$AD$136,$A8)</f>
        <v>2.74074074074074</v>
      </c>
    </row>
    <row r="9" customFormat="false" ht="15" hidden="false" customHeight="false" outlineLevel="0" collapsed="false">
      <c r="A9" s="12" t="s">
        <v>117</v>
      </c>
      <c r="B9" s="13" t="n">
        <f aca="false">COUNTIF(Data!$AD$2:$AD$136,$A9)</f>
        <v>19</v>
      </c>
      <c r="C9" s="14" t="n">
        <f aca="false">B9/COUNTA(Data!$A$2:$A$136)</f>
        <v>0.140740740740741</v>
      </c>
      <c r="D9" s="14" t="n">
        <f aca="false">COUNTIFS(Data!$AD$2:$AD$136,$A9,Data!$I$2:$I$136,"EV")/$B9</f>
        <v>0.157894736842105</v>
      </c>
      <c r="E9" s="14" t="n">
        <f aca="false">COUNTIFS(Data!$AD$2:$AD$136,$A9,Data!$J$2:$J$136,"Automatic")/$B9</f>
        <v>0.789473684210526</v>
      </c>
      <c r="F9" s="14" t="n">
        <f aca="false">COUNTIFS(Data!$AD$2:$AD$136,$A9,Data!$S$2:$S$136,"Loan")/$B9</f>
        <v>0.578947368421053</v>
      </c>
      <c r="G9" s="14" t="n">
        <f aca="false">COUNTIFS(Data!$AD$2:$AD$136,$A9,Data!$AC$2:$AC$136,"Premium")/$B9</f>
        <v>0.68421052631579</v>
      </c>
      <c r="H9" s="20" t="n">
        <f aca="false">AVERAGEIFS(Data!$L$2:$L$136,Data!$AD$2:$AD$136,$A9)</f>
        <v>2.89473684210526</v>
      </c>
    </row>
    <row r="10" customFormat="false" ht="15" hidden="false" customHeight="false" outlineLevel="0" collapsed="false">
      <c r="A10" s="12" t="s">
        <v>118</v>
      </c>
      <c r="B10" s="13" t="n">
        <f aca="false">COUNTIF(Data!$AD$2:$AD$136,$A10)</f>
        <v>16</v>
      </c>
      <c r="C10" s="14" t="n">
        <f aca="false">B10/COUNTA(Data!$A$2:$A$136)</f>
        <v>0.118518518518519</v>
      </c>
      <c r="D10" s="14" t="n">
        <f aca="false">COUNTIFS(Data!$AD$2:$AD$136,$A10,Data!$I$2:$I$136,"EV")/$B10</f>
        <v>0.4375</v>
      </c>
      <c r="E10" s="14" t="n">
        <f aca="false">COUNTIFS(Data!$AD$2:$AD$136,$A10,Data!$J$2:$J$136,"Automatic")/$B10</f>
        <v>0.625</v>
      </c>
      <c r="F10" s="14" t="n">
        <f aca="false">COUNTIFS(Data!$AD$2:$AD$136,$A10,Data!$S$2:$S$136,"Loan")/$B10</f>
        <v>0.5625</v>
      </c>
      <c r="G10" s="14" t="n">
        <f aca="false">COUNTIFS(Data!$AD$2:$AD$136,$A10,Data!$AC$2:$AC$136,"Premium")/$B10</f>
        <v>0.3125</v>
      </c>
      <c r="H10" s="20" t="n">
        <f aca="false">AVERAGEIFS(Data!$L$2:$L$136,Data!$AD$2:$AD$136,$A10)</f>
        <v>2.8125</v>
      </c>
    </row>
    <row r="12" customFormat="false" ht="15" hidden="false" customHeight="false" outlineLevel="0" collapsed="false">
      <c r="A12" s="2" t="s">
        <v>119</v>
      </c>
    </row>
    <row r="13" customFormat="false" ht="15" hidden="false" customHeight="false" outlineLevel="0" collapsed="false">
      <c r="A13" s="2" t="s">
        <v>120</v>
      </c>
    </row>
  </sheetData>
  <conditionalFormatting sqref="D6:D10">
    <cfRule type="colorScale" priority="2">
      <colorScale>
        <cfvo type="min" val="0"/>
        <cfvo type="max" val="0"/>
        <color rgb="FFFFFFFF"/>
        <color rgb="FF9DC3E6"/>
      </colorScale>
    </cfRule>
  </conditionalFormatting>
  <conditionalFormatting sqref="E6:E10">
    <cfRule type="colorScale" priority="3">
      <colorScale>
        <cfvo type="min" val="0"/>
        <cfvo type="max" val="0"/>
        <color rgb="FFFFFFFF"/>
        <color rgb="FF9DC3E6"/>
      </colorScale>
    </cfRule>
  </conditionalFormatting>
  <conditionalFormatting sqref="F6:F10">
    <cfRule type="colorScale" priority="4">
      <colorScale>
        <cfvo type="min" val="0"/>
        <cfvo type="max" val="0"/>
        <color rgb="FFFFFFFF"/>
        <color rgb="FF9DC3E6"/>
      </colorScale>
    </cfRule>
  </conditionalFormatting>
  <conditionalFormatting sqref="G6:G10">
    <cfRule type="colorScale" priority="5">
      <colorScale>
        <cfvo type="min" val="0"/>
        <cfvo type="max" val="0"/>
        <color rgb="FFFFFFFF"/>
        <color rgb="FF9DC3E6"/>
      </colorScale>
    </cfRule>
  </conditionalFormatting>
  <conditionalFormatting sqref="H6:H10">
    <cfRule type="colorScale" priority="6">
      <colorScale>
        <cfvo type="min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6" min="14" style="0" width="15"/>
    <col collapsed="false" customWidth="true" hidden="false" outlineLevel="0" max="17" min="17" style="0" width="17"/>
    <col collapsed="false" customWidth="true" hidden="false" outlineLevel="0" max="18" min="18" style="0" width="14"/>
    <col collapsed="false" customWidth="true" hidden="false" outlineLevel="0" max="19" min="19" style="0" width="15"/>
    <col collapsed="false" customWidth="true" hidden="false" outlineLevel="0" max="20" min="20" style="0" width="20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23"/>
    <col collapsed="false" customWidth="true" hidden="false" outlineLevel="0" max="25" min="24" style="0" width="21"/>
    <col collapsed="false" customWidth="true" hidden="false" outlineLevel="0" max="26" min="26" style="0" width="17"/>
    <col collapsed="false" customWidth="true" hidden="false" outlineLevel="0" max="27" min="27" style="0" width="22"/>
    <col collapsed="false" customWidth="true" hidden="false" outlineLevel="0" max="28" min="28" style="0" width="18"/>
    <col collapsed="false" customWidth="true" hidden="false" outlineLevel="0" max="30" min="29" style="0" width="13"/>
  </cols>
  <sheetData>
    <row r="1" customFormat="false" ht="15" hidden="false" customHeight="false" outlineLevel="0" collapsed="false">
      <c r="A1" s="21" t="s">
        <v>121</v>
      </c>
      <c r="B1" s="21" t="s">
        <v>122</v>
      </c>
      <c r="C1" s="21" t="s">
        <v>123</v>
      </c>
      <c r="D1" s="21" t="s">
        <v>124</v>
      </c>
      <c r="E1" s="21" t="s">
        <v>125</v>
      </c>
      <c r="F1" s="21" t="s">
        <v>126</v>
      </c>
      <c r="G1" s="21" t="s">
        <v>127</v>
      </c>
      <c r="H1" s="21" t="s">
        <v>128</v>
      </c>
      <c r="I1" s="21" t="s">
        <v>129</v>
      </c>
      <c r="J1" s="21" t="s">
        <v>130</v>
      </c>
      <c r="K1" s="21" t="s">
        <v>131</v>
      </c>
      <c r="L1" s="21" t="s">
        <v>132</v>
      </c>
      <c r="M1" s="21" t="s">
        <v>60</v>
      </c>
      <c r="N1" s="21" t="s">
        <v>133</v>
      </c>
      <c r="O1" s="21" t="s">
        <v>134</v>
      </c>
      <c r="P1" s="21" t="s">
        <v>135</v>
      </c>
      <c r="Q1" s="21" t="s">
        <v>136</v>
      </c>
      <c r="R1" s="21" t="s">
        <v>137</v>
      </c>
      <c r="S1" s="21" t="s">
        <v>138</v>
      </c>
      <c r="T1" s="21" t="s">
        <v>139</v>
      </c>
      <c r="U1" s="21" t="s">
        <v>82</v>
      </c>
      <c r="V1" s="21" t="s">
        <v>140</v>
      </c>
      <c r="W1" s="21" t="s">
        <v>141</v>
      </c>
      <c r="X1" s="21" t="s">
        <v>142</v>
      </c>
      <c r="Y1" s="21" t="s">
        <v>143</v>
      </c>
      <c r="Z1" s="21" t="s">
        <v>144</v>
      </c>
      <c r="AA1" s="21" t="s">
        <v>145</v>
      </c>
      <c r="AB1" s="21" t="s">
        <v>146</v>
      </c>
      <c r="AC1" s="21" t="s">
        <v>147</v>
      </c>
      <c r="AD1" s="21" t="s">
        <v>148</v>
      </c>
    </row>
    <row r="2" customFormat="false" ht="15" hidden="false" customHeight="false" outlineLevel="0" collapsed="false">
      <c r="A2" s="19" t="n">
        <v>1</v>
      </c>
      <c r="B2" s="19" t="s">
        <v>149</v>
      </c>
      <c r="C2" s="19" t="s">
        <v>29</v>
      </c>
      <c r="D2" s="19" t="n">
        <v>1</v>
      </c>
      <c r="E2" s="19" t="s">
        <v>150</v>
      </c>
      <c r="F2" s="19" t="s">
        <v>39</v>
      </c>
      <c r="G2" s="19" t="n">
        <v>1</v>
      </c>
      <c r="H2" s="19" t="s">
        <v>20</v>
      </c>
      <c r="I2" s="19" t="s">
        <v>52</v>
      </c>
      <c r="J2" s="19" t="s">
        <v>151</v>
      </c>
      <c r="K2" s="19" t="s">
        <v>152</v>
      </c>
      <c r="L2" s="19" t="n">
        <v>1</v>
      </c>
      <c r="M2" s="19" t="s">
        <v>61</v>
      </c>
      <c r="N2" s="19" t="s">
        <v>153</v>
      </c>
      <c r="O2" s="19" t="s">
        <v>154</v>
      </c>
      <c r="P2" s="19" t="s">
        <v>155</v>
      </c>
      <c r="Q2" s="19" t="s">
        <v>156</v>
      </c>
      <c r="R2" s="19" t="s">
        <v>77</v>
      </c>
      <c r="S2" s="19" t="s">
        <v>69</v>
      </c>
      <c r="T2" s="19" t="s">
        <v>157</v>
      </c>
      <c r="U2" s="19" t="s">
        <v>90</v>
      </c>
      <c r="V2" s="19" t="s">
        <v>158</v>
      </c>
      <c r="W2" s="19" t="s">
        <v>159</v>
      </c>
      <c r="X2" s="19" t="s">
        <v>160</v>
      </c>
      <c r="Y2" s="19" t="s">
        <v>160</v>
      </c>
      <c r="Z2" s="19"/>
      <c r="AA2" s="19" t="s">
        <v>103</v>
      </c>
      <c r="AB2" s="19" t="s">
        <v>99</v>
      </c>
      <c r="AC2" s="19" t="str">
        <f aca="false">IF(H2="Punch","Entry",IF(OR(H2="Nexon",H2="Curvv"),"Compact","Premium"))</f>
        <v>Entry</v>
      </c>
      <c r="AD2" s="19" t="str">
        <f aca="false">IF(C2="18-25","Gen Z (18-25)",IF(C2="26-35","Young professionals (26-35)",IF(C2="36-45","Family builders (36-45)",IF(C2="46-55","Pre-retirement (46-55)","Seniors (55+)"))))</f>
        <v>Gen Z (18-25)</v>
      </c>
    </row>
    <row r="3" customFormat="false" ht="15" hidden="false" customHeight="false" outlineLevel="0" collapsed="false">
      <c r="A3" s="19" t="n">
        <v>2</v>
      </c>
      <c r="B3" s="19" t="s">
        <v>161</v>
      </c>
      <c r="C3" s="19" t="s">
        <v>31</v>
      </c>
      <c r="D3" s="19" t="n">
        <v>3</v>
      </c>
      <c r="E3" s="19" t="s">
        <v>162</v>
      </c>
      <c r="F3" s="19" t="s">
        <v>42</v>
      </c>
      <c r="G3" s="19" t="n">
        <v>4</v>
      </c>
      <c r="H3" s="19" t="s">
        <v>24</v>
      </c>
      <c r="I3" s="19" t="s">
        <v>53</v>
      </c>
      <c r="J3" s="19" t="s">
        <v>58</v>
      </c>
      <c r="K3" s="19" t="s">
        <v>163</v>
      </c>
      <c r="L3" s="19" t="n">
        <v>4</v>
      </c>
      <c r="M3" s="19" t="s">
        <v>62</v>
      </c>
      <c r="N3" s="19" t="s">
        <v>153</v>
      </c>
      <c r="O3" s="19" t="s">
        <v>154</v>
      </c>
      <c r="P3" s="19" t="s">
        <v>155</v>
      </c>
      <c r="Q3" s="19" t="s">
        <v>156</v>
      </c>
      <c r="R3" s="19" t="s">
        <v>75</v>
      </c>
      <c r="S3" s="19" t="s">
        <v>69</v>
      </c>
      <c r="T3" s="19" t="s">
        <v>157</v>
      </c>
      <c r="U3" s="19" t="s">
        <v>89</v>
      </c>
      <c r="V3" s="19" t="s">
        <v>164</v>
      </c>
      <c r="W3" s="19" t="s">
        <v>165</v>
      </c>
      <c r="X3" s="19" t="s">
        <v>166</v>
      </c>
      <c r="Y3" s="19" t="s">
        <v>160</v>
      </c>
      <c r="Z3" s="19"/>
      <c r="AA3" s="19" t="s">
        <v>100</v>
      </c>
      <c r="AB3" s="19" t="s">
        <v>101</v>
      </c>
      <c r="AC3" s="19" t="str">
        <f aca="false">IF(H3="Punch","Entry",IF(OR(H3="Nexon",H3="Curvv"),"Compact","Premium"))</f>
        <v>Premium</v>
      </c>
      <c r="AD3" s="19" t="str">
        <f aca="false">IF(C3="18-25","Gen Z (18-25)",IF(C3="26-35","Young professionals (26-35)",IF(C3="36-45","Family builders (36-45)",IF(C3="46-55","Pre-retirement (46-55)","Seniors (55+)"))))</f>
        <v>Family builders (36-45)</v>
      </c>
    </row>
    <row r="4" customFormat="false" ht="15" hidden="false" customHeight="false" outlineLevel="0" collapsed="false">
      <c r="A4" s="19" t="n">
        <v>3</v>
      </c>
      <c r="B4" s="19" t="s">
        <v>161</v>
      </c>
      <c r="C4" s="19" t="s">
        <v>30</v>
      </c>
      <c r="D4" s="19" t="n">
        <v>2</v>
      </c>
      <c r="E4" s="19" t="s">
        <v>150</v>
      </c>
      <c r="F4" s="19" t="s">
        <v>42</v>
      </c>
      <c r="G4" s="19" t="n">
        <v>4</v>
      </c>
      <c r="H4" s="19" t="s">
        <v>19</v>
      </c>
      <c r="I4" s="19" t="s">
        <v>54</v>
      </c>
      <c r="J4" s="19" t="s">
        <v>151</v>
      </c>
      <c r="K4" s="19" t="s">
        <v>163</v>
      </c>
      <c r="L4" s="19" t="n">
        <v>4</v>
      </c>
      <c r="M4" s="19" t="s">
        <v>61</v>
      </c>
      <c r="N4" s="19" t="s">
        <v>153</v>
      </c>
      <c r="O4" s="19" t="s">
        <v>154</v>
      </c>
      <c r="P4" s="19" t="s">
        <v>155</v>
      </c>
      <c r="Q4" s="19" t="s">
        <v>167</v>
      </c>
      <c r="R4" s="19" t="s">
        <v>77</v>
      </c>
      <c r="S4" s="19" t="s">
        <v>70</v>
      </c>
      <c r="T4" s="19" t="s">
        <v>168</v>
      </c>
      <c r="U4" s="19" t="s">
        <v>90</v>
      </c>
      <c r="V4" s="19" t="s">
        <v>158</v>
      </c>
      <c r="W4" s="19" t="s">
        <v>159</v>
      </c>
      <c r="X4" s="19" t="s">
        <v>160</v>
      </c>
      <c r="Y4" s="19" t="s">
        <v>160</v>
      </c>
      <c r="Z4" s="19"/>
      <c r="AA4" s="19" t="s">
        <v>97</v>
      </c>
      <c r="AB4" s="19" t="s">
        <v>85</v>
      </c>
      <c r="AC4" s="19" t="str">
        <f aca="false">IF(H4="Punch","Entry",IF(OR(H4="Nexon",H4="Curvv"),"Compact","Premium"))</f>
        <v>Compact</v>
      </c>
      <c r="AD4" s="19" t="str">
        <f aca="false">IF(C4="18-25","Gen Z (18-25)",IF(C4="26-35","Young professionals (26-35)",IF(C4="36-45","Family builders (36-45)",IF(C4="46-55","Pre-retirement (46-55)","Seniors (55+)"))))</f>
        <v>Young professionals (26-35)</v>
      </c>
    </row>
    <row r="5" customFormat="false" ht="15" hidden="false" customHeight="false" outlineLevel="0" collapsed="false">
      <c r="A5" s="19" t="n">
        <v>4</v>
      </c>
      <c r="B5" s="19" t="s">
        <v>161</v>
      </c>
      <c r="C5" s="19" t="s">
        <v>29</v>
      </c>
      <c r="D5" s="19" t="n">
        <v>1</v>
      </c>
      <c r="E5" s="19" t="s">
        <v>150</v>
      </c>
      <c r="F5" s="19" t="s">
        <v>42</v>
      </c>
      <c r="G5" s="19" t="n">
        <v>4</v>
      </c>
      <c r="H5" s="19" t="s">
        <v>22</v>
      </c>
      <c r="I5" s="19" t="s">
        <v>51</v>
      </c>
      <c r="J5" s="19" t="s">
        <v>58</v>
      </c>
      <c r="K5" s="19" t="s">
        <v>163</v>
      </c>
      <c r="L5" s="19" t="n">
        <v>4</v>
      </c>
      <c r="M5" s="19" t="s">
        <v>61</v>
      </c>
      <c r="N5" s="19" t="s">
        <v>153</v>
      </c>
      <c r="O5" s="19" t="s">
        <v>169</v>
      </c>
      <c r="P5" s="19" t="s">
        <v>170</v>
      </c>
      <c r="Q5" s="19" t="s">
        <v>171</v>
      </c>
      <c r="R5" s="19" t="s">
        <v>75</v>
      </c>
      <c r="S5" s="19" t="s">
        <v>70</v>
      </c>
      <c r="T5" s="19" t="s">
        <v>157</v>
      </c>
      <c r="U5" s="19" t="s">
        <v>89</v>
      </c>
      <c r="V5" s="19" t="s">
        <v>164</v>
      </c>
      <c r="W5" s="19" t="s">
        <v>165</v>
      </c>
      <c r="X5" s="19" t="s">
        <v>166</v>
      </c>
      <c r="Y5" s="19" t="s">
        <v>160</v>
      </c>
      <c r="Z5" s="19"/>
      <c r="AA5" s="19" t="s">
        <v>98</v>
      </c>
      <c r="AB5" s="19" t="s">
        <v>99</v>
      </c>
      <c r="AC5" s="19" t="str">
        <f aca="false">IF(H5="Punch","Entry",IF(OR(H5="Nexon",H5="Curvv"),"Compact","Premium"))</f>
        <v>Compact</v>
      </c>
      <c r="AD5" s="19" t="str">
        <f aca="false">IF(C5="18-25","Gen Z (18-25)",IF(C5="26-35","Young professionals (26-35)",IF(C5="36-45","Family builders (36-45)",IF(C5="46-55","Pre-retirement (46-55)","Seniors (55+)"))))</f>
        <v>Gen Z (18-25)</v>
      </c>
    </row>
    <row r="6" customFormat="false" ht="15" hidden="false" customHeight="false" outlineLevel="0" collapsed="false">
      <c r="A6" s="19" t="n">
        <v>5</v>
      </c>
      <c r="B6" s="19" t="s">
        <v>149</v>
      </c>
      <c r="C6" s="19" t="s">
        <v>29</v>
      </c>
      <c r="D6" s="19" t="n">
        <v>1</v>
      </c>
      <c r="E6" s="19" t="s">
        <v>150</v>
      </c>
      <c r="F6" s="19" t="s">
        <v>40</v>
      </c>
      <c r="G6" s="19" t="n">
        <v>2</v>
      </c>
      <c r="H6" s="19" t="s">
        <v>19</v>
      </c>
      <c r="I6" s="19" t="s">
        <v>52</v>
      </c>
      <c r="J6" s="19" t="s">
        <v>58</v>
      </c>
      <c r="K6" s="19" t="s">
        <v>172</v>
      </c>
      <c r="L6" s="19" t="n">
        <v>2</v>
      </c>
      <c r="M6" s="19" t="s">
        <v>61</v>
      </c>
      <c r="N6" s="19" t="s">
        <v>153</v>
      </c>
      <c r="O6" s="19" t="s">
        <v>154</v>
      </c>
      <c r="P6" s="19" t="s">
        <v>155</v>
      </c>
      <c r="Q6" s="19" t="s">
        <v>156</v>
      </c>
      <c r="R6" s="19" t="s">
        <v>75</v>
      </c>
      <c r="S6" s="19" t="s">
        <v>70</v>
      </c>
      <c r="T6" s="19" t="s">
        <v>157</v>
      </c>
      <c r="U6" s="19" t="s">
        <v>91</v>
      </c>
      <c r="V6" s="19" t="s">
        <v>173</v>
      </c>
      <c r="W6" s="19" t="s">
        <v>174</v>
      </c>
      <c r="X6" s="19" t="s">
        <v>160</v>
      </c>
      <c r="Y6" s="19" t="s">
        <v>160</v>
      </c>
      <c r="Z6" s="19"/>
      <c r="AA6" s="19" t="s">
        <v>102</v>
      </c>
      <c r="AB6" s="19" t="s">
        <v>85</v>
      </c>
      <c r="AC6" s="19" t="str">
        <f aca="false">IF(H6="Punch","Entry",IF(OR(H6="Nexon",H6="Curvv"),"Compact","Premium"))</f>
        <v>Compact</v>
      </c>
      <c r="AD6" s="19" t="str">
        <f aca="false">IF(C6="18-25","Gen Z (18-25)",IF(C6="26-35","Young professionals (26-35)",IF(C6="36-45","Family builders (36-45)",IF(C6="46-55","Pre-retirement (46-55)","Seniors (55+)"))))</f>
        <v>Gen Z (18-25)</v>
      </c>
    </row>
    <row r="7" customFormat="false" ht="15" hidden="false" customHeight="false" outlineLevel="0" collapsed="false">
      <c r="A7" s="19" t="n">
        <v>6</v>
      </c>
      <c r="B7" s="19" t="s">
        <v>161</v>
      </c>
      <c r="C7" s="19" t="s">
        <v>30</v>
      </c>
      <c r="D7" s="19" t="n">
        <v>2</v>
      </c>
      <c r="E7" s="19" t="s">
        <v>150</v>
      </c>
      <c r="F7" s="19" t="s">
        <v>42</v>
      </c>
      <c r="G7" s="19" t="n">
        <v>4</v>
      </c>
      <c r="H7" s="19" t="s">
        <v>24</v>
      </c>
      <c r="I7" s="19" t="s">
        <v>54</v>
      </c>
      <c r="J7" s="19" t="s">
        <v>58</v>
      </c>
      <c r="K7" s="19" t="s">
        <v>163</v>
      </c>
      <c r="L7" s="19" t="n">
        <v>4</v>
      </c>
      <c r="M7" s="19" t="s">
        <v>62</v>
      </c>
      <c r="N7" s="19" t="s">
        <v>153</v>
      </c>
      <c r="O7" s="19" t="s">
        <v>154</v>
      </c>
      <c r="P7" s="19" t="s">
        <v>155</v>
      </c>
      <c r="Q7" s="19" t="s">
        <v>156</v>
      </c>
      <c r="R7" s="19" t="s">
        <v>77</v>
      </c>
      <c r="S7" s="19" t="s">
        <v>70</v>
      </c>
      <c r="T7" s="19" t="s">
        <v>157</v>
      </c>
      <c r="U7" s="19" t="s">
        <v>89</v>
      </c>
      <c r="V7" s="19" t="s">
        <v>164</v>
      </c>
      <c r="W7" s="19" t="s">
        <v>165</v>
      </c>
      <c r="X7" s="19" t="s">
        <v>166</v>
      </c>
      <c r="Y7" s="19" t="s">
        <v>160</v>
      </c>
      <c r="Z7" s="19"/>
      <c r="AA7" s="19" t="s">
        <v>98</v>
      </c>
      <c r="AB7" s="19" t="s">
        <v>99</v>
      </c>
      <c r="AC7" s="19" t="str">
        <f aca="false">IF(H7="Punch","Entry",IF(OR(H7="Nexon",H7="Curvv"),"Compact","Premium"))</f>
        <v>Premium</v>
      </c>
      <c r="AD7" s="19" t="str">
        <f aca="false">IF(C7="18-25","Gen Z (18-25)",IF(C7="26-35","Young professionals (26-35)",IF(C7="36-45","Family builders (36-45)",IF(C7="46-55","Pre-retirement (46-55)","Seniors (55+)"))))</f>
        <v>Young professionals (26-35)</v>
      </c>
    </row>
    <row r="8" customFormat="false" ht="15" hidden="false" customHeight="false" outlineLevel="0" collapsed="false">
      <c r="A8" s="19" t="n">
        <v>7</v>
      </c>
      <c r="B8" s="19" t="s">
        <v>161</v>
      </c>
      <c r="C8" s="19" t="s">
        <v>31</v>
      </c>
      <c r="D8" s="19" t="n">
        <v>3</v>
      </c>
      <c r="E8" s="19" t="s">
        <v>175</v>
      </c>
      <c r="F8" s="19" t="s">
        <v>39</v>
      </c>
      <c r="G8" s="19" t="n">
        <v>1</v>
      </c>
      <c r="H8" s="19" t="s">
        <v>24</v>
      </c>
      <c r="I8" s="19" t="s">
        <v>53</v>
      </c>
      <c r="J8" s="19" t="s">
        <v>58</v>
      </c>
      <c r="K8" s="19" t="s">
        <v>152</v>
      </c>
      <c r="L8" s="19" t="n">
        <v>1</v>
      </c>
      <c r="M8" s="19" t="s">
        <v>62</v>
      </c>
      <c r="N8" s="19" t="s">
        <v>153</v>
      </c>
      <c r="O8" s="19" t="s">
        <v>154</v>
      </c>
      <c r="P8" s="19" t="s">
        <v>155</v>
      </c>
      <c r="Q8" s="19" t="s">
        <v>156</v>
      </c>
      <c r="R8" s="19" t="s">
        <v>77</v>
      </c>
      <c r="S8" s="19" t="s">
        <v>69</v>
      </c>
      <c r="T8" s="19" t="s">
        <v>157</v>
      </c>
      <c r="U8" s="19" t="s">
        <v>90</v>
      </c>
      <c r="V8" s="19" t="s">
        <v>158</v>
      </c>
      <c r="W8" s="19" t="s">
        <v>159</v>
      </c>
      <c r="X8" s="19" t="s">
        <v>166</v>
      </c>
      <c r="Y8" s="19" t="s">
        <v>166</v>
      </c>
      <c r="Z8" s="19" t="s">
        <v>176</v>
      </c>
      <c r="AA8" s="19" t="s">
        <v>97</v>
      </c>
      <c r="AB8" s="19" t="s">
        <v>85</v>
      </c>
      <c r="AC8" s="19" t="str">
        <f aca="false">IF(H8="Punch","Entry",IF(OR(H8="Nexon",H8="Curvv"),"Compact","Premium"))</f>
        <v>Premium</v>
      </c>
      <c r="AD8" s="19" t="str">
        <f aca="false">IF(C8="18-25","Gen Z (18-25)",IF(C8="26-35","Young professionals (26-35)",IF(C8="36-45","Family builders (36-45)",IF(C8="46-55","Pre-retirement (46-55)","Seniors (55+)"))))</f>
        <v>Family builders (36-45)</v>
      </c>
    </row>
    <row r="9" customFormat="false" ht="15" hidden="false" customHeight="false" outlineLevel="0" collapsed="false">
      <c r="A9" s="19" t="n">
        <v>8</v>
      </c>
      <c r="B9" s="19" t="s">
        <v>149</v>
      </c>
      <c r="C9" s="19" t="s">
        <v>30</v>
      </c>
      <c r="D9" s="19" t="n">
        <v>2</v>
      </c>
      <c r="E9" s="19" t="s">
        <v>150</v>
      </c>
      <c r="F9" s="19" t="s">
        <v>42</v>
      </c>
      <c r="G9" s="19" t="n">
        <v>4</v>
      </c>
      <c r="H9" s="19" t="s">
        <v>19</v>
      </c>
      <c r="I9" s="19" t="s">
        <v>53</v>
      </c>
      <c r="J9" s="19" t="s">
        <v>58</v>
      </c>
      <c r="K9" s="19" t="s">
        <v>163</v>
      </c>
      <c r="L9" s="19" t="n">
        <v>4</v>
      </c>
      <c r="M9" s="19" t="s">
        <v>61</v>
      </c>
      <c r="N9" s="19" t="s">
        <v>153</v>
      </c>
      <c r="O9" s="19" t="s">
        <v>154</v>
      </c>
      <c r="P9" s="19" t="s">
        <v>155</v>
      </c>
      <c r="Q9" s="19" t="s">
        <v>167</v>
      </c>
      <c r="R9" s="19" t="s">
        <v>75</v>
      </c>
      <c r="S9" s="19" t="s">
        <v>69</v>
      </c>
      <c r="T9" s="19" t="s">
        <v>168</v>
      </c>
      <c r="U9" s="19" t="s">
        <v>91</v>
      </c>
      <c r="V9" s="19" t="s">
        <v>173</v>
      </c>
      <c r="W9" s="19" t="s">
        <v>174</v>
      </c>
      <c r="X9" s="19" t="s">
        <v>160</v>
      </c>
      <c r="Y9" s="19" t="s">
        <v>160</v>
      </c>
      <c r="Z9" s="19"/>
      <c r="AA9" s="19" t="s">
        <v>102</v>
      </c>
      <c r="AB9" s="19" t="s">
        <v>85</v>
      </c>
      <c r="AC9" s="19" t="str">
        <f aca="false">IF(H9="Punch","Entry",IF(OR(H9="Nexon",H9="Curvv"),"Compact","Premium"))</f>
        <v>Compact</v>
      </c>
      <c r="AD9" s="19" t="str">
        <f aca="false">IF(C9="18-25","Gen Z (18-25)",IF(C9="26-35","Young professionals (26-35)",IF(C9="36-45","Family builders (36-45)",IF(C9="46-55","Pre-retirement (46-55)","Seniors (55+)"))))</f>
        <v>Young professionals (26-35)</v>
      </c>
    </row>
    <row r="10" customFormat="false" ht="15" hidden="false" customHeight="false" outlineLevel="0" collapsed="false">
      <c r="A10" s="19" t="n">
        <v>9</v>
      </c>
      <c r="B10" s="19" t="s">
        <v>161</v>
      </c>
      <c r="C10" s="19" t="s">
        <v>30</v>
      </c>
      <c r="D10" s="19" t="n">
        <v>2</v>
      </c>
      <c r="E10" s="19" t="s">
        <v>150</v>
      </c>
      <c r="F10" s="19" t="s">
        <v>41</v>
      </c>
      <c r="G10" s="19" t="n">
        <v>3</v>
      </c>
      <c r="H10" s="19" t="s">
        <v>24</v>
      </c>
      <c r="I10" s="19" t="s">
        <v>53</v>
      </c>
      <c r="J10" s="19" t="s">
        <v>58</v>
      </c>
      <c r="K10" s="19" t="s">
        <v>177</v>
      </c>
      <c r="L10" s="19" t="n">
        <v>3</v>
      </c>
      <c r="M10" s="19" t="s">
        <v>62</v>
      </c>
      <c r="N10" s="19" t="s">
        <v>153</v>
      </c>
      <c r="O10" s="19" t="s">
        <v>154</v>
      </c>
      <c r="P10" s="19" t="s">
        <v>155</v>
      </c>
      <c r="Q10" s="19" t="s">
        <v>167</v>
      </c>
      <c r="R10" s="19" t="s">
        <v>77</v>
      </c>
      <c r="S10" s="19" t="s">
        <v>69</v>
      </c>
      <c r="T10" s="19" t="s">
        <v>157</v>
      </c>
      <c r="U10" s="19" t="s">
        <v>90</v>
      </c>
      <c r="V10" s="19" t="s">
        <v>158</v>
      </c>
      <c r="W10" s="19" t="s">
        <v>159</v>
      </c>
      <c r="X10" s="19" t="s">
        <v>166</v>
      </c>
      <c r="Y10" s="19" t="s">
        <v>166</v>
      </c>
      <c r="Z10" s="19" t="s">
        <v>176</v>
      </c>
      <c r="AA10" s="19" t="s">
        <v>97</v>
      </c>
      <c r="AB10" s="19" t="s">
        <v>85</v>
      </c>
      <c r="AC10" s="19" t="str">
        <f aca="false">IF(H10="Punch","Entry",IF(OR(H10="Nexon",H10="Curvv"),"Compact","Premium"))</f>
        <v>Premium</v>
      </c>
      <c r="AD10" s="19" t="str">
        <f aca="false">IF(C10="18-25","Gen Z (18-25)",IF(C10="26-35","Young professionals (26-35)",IF(C10="36-45","Family builders (36-45)",IF(C10="46-55","Pre-retirement (46-55)","Seniors (55+)"))))</f>
        <v>Young professionals (26-35)</v>
      </c>
    </row>
    <row r="11" customFormat="false" ht="15" hidden="false" customHeight="false" outlineLevel="0" collapsed="false">
      <c r="A11" s="19" t="n">
        <v>10</v>
      </c>
      <c r="B11" s="19" t="s">
        <v>161</v>
      </c>
      <c r="C11" s="19" t="s">
        <v>31</v>
      </c>
      <c r="D11" s="19" t="n">
        <v>3</v>
      </c>
      <c r="E11" s="19" t="s">
        <v>162</v>
      </c>
      <c r="F11" s="19" t="s">
        <v>42</v>
      </c>
      <c r="G11" s="19" t="n">
        <v>4</v>
      </c>
      <c r="H11" s="19" t="s">
        <v>21</v>
      </c>
      <c r="I11" s="19" t="s">
        <v>53</v>
      </c>
      <c r="J11" s="19" t="s">
        <v>58</v>
      </c>
      <c r="K11" s="19" t="s">
        <v>163</v>
      </c>
      <c r="L11" s="19" t="n">
        <v>4</v>
      </c>
      <c r="M11" s="19" t="s">
        <v>62</v>
      </c>
      <c r="N11" s="19" t="s">
        <v>153</v>
      </c>
      <c r="O11" s="19" t="s">
        <v>178</v>
      </c>
      <c r="P11" s="19" t="s">
        <v>179</v>
      </c>
      <c r="Q11" s="19" t="s">
        <v>156</v>
      </c>
      <c r="R11" s="19" t="s">
        <v>75</v>
      </c>
      <c r="S11" s="19" t="s">
        <v>69</v>
      </c>
      <c r="T11" s="19" t="s">
        <v>180</v>
      </c>
      <c r="U11" s="19" t="s">
        <v>90</v>
      </c>
      <c r="V11" s="19" t="s">
        <v>158</v>
      </c>
      <c r="W11" s="19" t="s">
        <v>159</v>
      </c>
      <c r="X11" s="19" t="s">
        <v>166</v>
      </c>
      <c r="Y11" s="19" t="s">
        <v>166</v>
      </c>
      <c r="Z11" s="19" t="s">
        <v>176</v>
      </c>
      <c r="AA11" s="19" t="s">
        <v>97</v>
      </c>
      <c r="AB11" s="19" t="s">
        <v>85</v>
      </c>
      <c r="AC11" s="19" t="str">
        <f aca="false">IF(H11="Punch","Entry",IF(OR(H11="Nexon",H11="Curvv"),"Compact","Premium"))</f>
        <v>Premium</v>
      </c>
      <c r="AD11" s="19" t="str">
        <f aca="false">IF(C11="18-25","Gen Z (18-25)",IF(C11="26-35","Young professionals (26-35)",IF(C11="36-45","Family builders (36-45)",IF(C11="46-55","Pre-retirement (46-55)","Seniors (55+)"))))</f>
        <v>Family builders (36-45)</v>
      </c>
    </row>
    <row r="12" customFormat="false" ht="15" hidden="false" customHeight="false" outlineLevel="0" collapsed="false">
      <c r="A12" s="19" t="n">
        <v>11</v>
      </c>
      <c r="B12" s="19" t="s">
        <v>149</v>
      </c>
      <c r="C12" s="19" t="s">
        <v>30</v>
      </c>
      <c r="D12" s="19" t="n">
        <v>2</v>
      </c>
      <c r="E12" s="19" t="s">
        <v>150</v>
      </c>
      <c r="F12" s="19" t="s">
        <v>41</v>
      </c>
      <c r="G12" s="19" t="n">
        <v>3</v>
      </c>
      <c r="H12" s="19" t="s">
        <v>22</v>
      </c>
      <c r="I12" s="19" t="s">
        <v>54</v>
      </c>
      <c r="J12" s="19" t="s">
        <v>58</v>
      </c>
      <c r="K12" s="19" t="s">
        <v>177</v>
      </c>
      <c r="L12" s="19" t="n">
        <v>3</v>
      </c>
      <c r="M12" s="19" t="s">
        <v>61</v>
      </c>
      <c r="N12" s="19" t="s">
        <v>153</v>
      </c>
      <c r="O12" s="19" t="s">
        <v>169</v>
      </c>
      <c r="P12" s="19" t="s">
        <v>179</v>
      </c>
      <c r="Q12" s="19" t="s">
        <v>156</v>
      </c>
      <c r="R12" s="19" t="s">
        <v>75</v>
      </c>
      <c r="S12" s="19" t="s">
        <v>69</v>
      </c>
      <c r="T12" s="19" t="s">
        <v>168</v>
      </c>
      <c r="U12" s="19" t="s">
        <v>91</v>
      </c>
      <c r="V12" s="19" t="s">
        <v>173</v>
      </c>
      <c r="W12" s="19" t="s">
        <v>174</v>
      </c>
      <c r="X12" s="19" t="s">
        <v>166</v>
      </c>
      <c r="Y12" s="19" t="s">
        <v>160</v>
      </c>
      <c r="Z12" s="19"/>
      <c r="AA12" s="19" t="s">
        <v>102</v>
      </c>
      <c r="AB12" s="19" t="s">
        <v>85</v>
      </c>
      <c r="AC12" s="19" t="str">
        <f aca="false">IF(H12="Punch","Entry",IF(OR(H12="Nexon",H12="Curvv"),"Compact","Premium"))</f>
        <v>Compact</v>
      </c>
      <c r="AD12" s="19" t="str">
        <f aca="false">IF(C12="18-25","Gen Z (18-25)",IF(C12="26-35","Young professionals (26-35)",IF(C12="36-45","Family builders (36-45)",IF(C12="46-55","Pre-retirement (46-55)","Seniors (55+)"))))</f>
        <v>Young professionals (26-35)</v>
      </c>
    </row>
    <row r="13" customFormat="false" ht="15" hidden="false" customHeight="false" outlineLevel="0" collapsed="false">
      <c r="A13" s="19" t="n">
        <v>12</v>
      </c>
      <c r="B13" s="19" t="s">
        <v>149</v>
      </c>
      <c r="C13" s="19" t="s">
        <v>30</v>
      </c>
      <c r="D13" s="19" t="n">
        <v>2</v>
      </c>
      <c r="E13" s="19" t="s">
        <v>150</v>
      </c>
      <c r="F13" s="19" t="s">
        <v>40</v>
      </c>
      <c r="G13" s="19" t="n">
        <v>2</v>
      </c>
      <c r="H13" s="19" t="s">
        <v>22</v>
      </c>
      <c r="I13" s="19" t="s">
        <v>51</v>
      </c>
      <c r="J13" s="19" t="s">
        <v>58</v>
      </c>
      <c r="K13" s="19" t="s">
        <v>172</v>
      </c>
      <c r="L13" s="19" t="n">
        <v>2</v>
      </c>
      <c r="M13" s="19" t="s">
        <v>61</v>
      </c>
      <c r="N13" s="19" t="s">
        <v>153</v>
      </c>
      <c r="O13" s="19" t="s">
        <v>169</v>
      </c>
      <c r="P13" s="19" t="s">
        <v>170</v>
      </c>
      <c r="Q13" s="19" t="s">
        <v>171</v>
      </c>
      <c r="R13" s="19" t="s">
        <v>75</v>
      </c>
      <c r="S13" s="19" t="s">
        <v>69</v>
      </c>
      <c r="T13" s="19" t="s">
        <v>157</v>
      </c>
      <c r="U13" s="19" t="s">
        <v>90</v>
      </c>
      <c r="V13" s="19" t="s">
        <v>158</v>
      </c>
      <c r="W13" s="19" t="s">
        <v>159</v>
      </c>
      <c r="X13" s="19" t="s">
        <v>166</v>
      </c>
      <c r="Y13" s="19" t="s">
        <v>166</v>
      </c>
      <c r="Z13" s="19" t="s">
        <v>176</v>
      </c>
      <c r="AA13" s="19" t="s">
        <v>97</v>
      </c>
      <c r="AB13" s="19" t="s">
        <v>85</v>
      </c>
      <c r="AC13" s="19" t="str">
        <f aca="false">IF(H13="Punch","Entry",IF(OR(H13="Nexon",H13="Curvv"),"Compact","Premium"))</f>
        <v>Compact</v>
      </c>
      <c r="AD13" s="19" t="str">
        <f aca="false">IF(C13="18-25","Gen Z (18-25)",IF(C13="26-35","Young professionals (26-35)",IF(C13="36-45","Family builders (36-45)",IF(C13="46-55","Pre-retirement (46-55)","Seniors (55+)"))))</f>
        <v>Young professionals (26-35)</v>
      </c>
    </row>
    <row r="14" customFormat="false" ht="15" hidden="false" customHeight="false" outlineLevel="0" collapsed="false">
      <c r="A14" s="19" t="n">
        <v>13</v>
      </c>
      <c r="B14" s="19" t="s">
        <v>161</v>
      </c>
      <c r="C14" s="19" t="s">
        <v>33</v>
      </c>
      <c r="D14" s="19" t="n">
        <v>5</v>
      </c>
      <c r="E14" s="19" t="s">
        <v>162</v>
      </c>
      <c r="F14" s="19" t="s">
        <v>42</v>
      </c>
      <c r="G14" s="19" t="n">
        <v>4</v>
      </c>
      <c r="H14" s="19" t="s">
        <v>21</v>
      </c>
      <c r="I14" s="19" t="s">
        <v>52</v>
      </c>
      <c r="J14" s="19" t="s">
        <v>58</v>
      </c>
      <c r="K14" s="19" t="s">
        <v>163</v>
      </c>
      <c r="L14" s="19" t="n">
        <v>4</v>
      </c>
      <c r="M14" s="19" t="s">
        <v>62</v>
      </c>
      <c r="N14" s="19" t="s">
        <v>153</v>
      </c>
      <c r="O14" s="19" t="s">
        <v>178</v>
      </c>
      <c r="P14" s="19" t="s">
        <v>179</v>
      </c>
      <c r="Q14" s="19" t="s">
        <v>156</v>
      </c>
      <c r="R14" s="19" t="s">
        <v>75</v>
      </c>
      <c r="S14" s="19" t="s">
        <v>69</v>
      </c>
      <c r="T14" s="19" t="s">
        <v>180</v>
      </c>
      <c r="U14" s="19" t="s">
        <v>89</v>
      </c>
      <c r="V14" s="19" t="s">
        <v>164</v>
      </c>
      <c r="W14" s="19" t="s">
        <v>165</v>
      </c>
      <c r="X14" s="19" t="s">
        <v>166</v>
      </c>
      <c r="Y14" s="19" t="s">
        <v>160</v>
      </c>
      <c r="Z14" s="19"/>
      <c r="AA14" s="19" t="s">
        <v>100</v>
      </c>
      <c r="AB14" s="19" t="s">
        <v>101</v>
      </c>
      <c r="AC14" s="19" t="str">
        <f aca="false">IF(H14="Punch","Entry",IF(OR(H14="Nexon",H14="Curvv"),"Compact","Premium"))</f>
        <v>Premium</v>
      </c>
      <c r="AD14" s="19" t="str">
        <f aca="false">IF(C14="18-25","Gen Z (18-25)",IF(C14="26-35","Young professionals (26-35)",IF(C14="36-45","Family builders (36-45)",IF(C14="46-55","Pre-retirement (46-55)","Seniors (55+)"))))</f>
        <v>Seniors (55+)</v>
      </c>
    </row>
    <row r="15" customFormat="false" ht="15" hidden="false" customHeight="false" outlineLevel="0" collapsed="false">
      <c r="A15" s="19" t="n">
        <v>14</v>
      </c>
      <c r="B15" s="19" t="s">
        <v>161</v>
      </c>
      <c r="C15" s="19" t="s">
        <v>29</v>
      </c>
      <c r="D15" s="19" t="n">
        <v>1</v>
      </c>
      <c r="E15" s="19" t="s">
        <v>150</v>
      </c>
      <c r="F15" s="19" t="s">
        <v>41</v>
      </c>
      <c r="G15" s="19" t="n">
        <v>3</v>
      </c>
      <c r="H15" s="19" t="s">
        <v>19</v>
      </c>
      <c r="I15" s="19" t="s">
        <v>51</v>
      </c>
      <c r="J15" s="19" t="s">
        <v>58</v>
      </c>
      <c r="K15" s="19" t="s">
        <v>177</v>
      </c>
      <c r="L15" s="19" t="n">
        <v>3</v>
      </c>
      <c r="M15" s="19" t="s">
        <v>61</v>
      </c>
      <c r="N15" s="19" t="s">
        <v>153</v>
      </c>
      <c r="O15" s="19" t="s">
        <v>169</v>
      </c>
      <c r="P15" s="19" t="s">
        <v>170</v>
      </c>
      <c r="Q15" s="19" t="s">
        <v>171</v>
      </c>
      <c r="R15" s="19" t="s">
        <v>75</v>
      </c>
      <c r="S15" s="19" t="s">
        <v>69</v>
      </c>
      <c r="T15" s="19" t="s">
        <v>168</v>
      </c>
      <c r="U15" s="19" t="s">
        <v>90</v>
      </c>
      <c r="V15" s="19" t="s">
        <v>158</v>
      </c>
      <c r="W15" s="19" t="s">
        <v>159</v>
      </c>
      <c r="X15" s="19" t="s">
        <v>160</v>
      </c>
      <c r="Y15" s="19" t="s">
        <v>160</v>
      </c>
      <c r="Z15" s="19"/>
      <c r="AA15" s="19" t="s">
        <v>97</v>
      </c>
      <c r="AB15" s="19" t="s">
        <v>85</v>
      </c>
      <c r="AC15" s="19" t="str">
        <f aca="false">IF(H15="Punch","Entry",IF(OR(H15="Nexon",H15="Curvv"),"Compact","Premium"))</f>
        <v>Compact</v>
      </c>
      <c r="AD15" s="19" t="str">
        <f aca="false">IF(C15="18-25","Gen Z (18-25)",IF(C15="26-35","Young professionals (26-35)",IF(C15="36-45","Family builders (36-45)",IF(C15="46-55","Pre-retirement (46-55)","Seniors (55+)"))))</f>
        <v>Gen Z (18-25)</v>
      </c>
    </row>
    <row r="16" customFormat="false" ht="15" hidden="false" customHeight="false" outlineLevel="0" collapsed="false">
      <c r="A16" s="19" t="n">
        <v>15</v>
      </c>
      <c r="B16" s="19" t="s">
        <v>161</v>
      </c>
      <c r="C16" s="19" t="s">
        <v>29</v>
      </c>
      <c r="D16" s="19" t="n">
        <v>1</v>
      </c>
      <c r="E16" s="19" t="s">
        <v>150</v>
      </c>
      <c r="F16" s="19" t="s">
        <v>40</v>
      </c>
      <c r="G16" s="19" t="n">
        <v>2</v>
      </c>
      <c r="H16" s="19" t="s">
        <v>24</v>
      </c>
      <c r="I16" s="19" t="s">
        <v>53</v>
      </c>
      <c r="J16" s="19" t="s">
        <v>58</v>
      </c>
      <c r="K16" s="19" t="s">
        <v>172</v>
      </c>
      <c r="L16" s="19" t="n">
        <v>2</v>
      </c>
      <c r="M16" s="19" t="s">
        <v>62</v>
      </c>
      <c r="N16" s="19" t="s">
        <v>153</v>
      </c>
      <c r="O16" s="19" t="s">
        <v>154</v>
      </c>
      <c r="P16" s="19" t="s">
        <v>155</v>
      </c>
      <c r="Q16" s="19" t="s">
        <v>167</v>
      </c>
      <c r="R16" s="19" t="s">
        <v>75</v>
      </c>
      <c r="S16" s="19" t="s">
        <v>70</v>
      </c>
      <c r="T16" s="19" t="s">
        <v>157</v>
      </c>
      <c r="U16" s="19" t="s">
        <v>91</v>
      </c>
      <c r="V16" s="19" t="s">
        <v>173</v>
      </c>
      <c r="W16" s="19" t="s">
        <v>174</v>
      </c>
      <c r="X16" s="19" t="s">
        <v>166</v>
      </c>
      <c r="Y16" s="19" t="s">
        <v>160</v>
      </c>
      <c r="Z16" s="19"/>
      <c r="AA16" s="19" t="s">
        <v>104</v>
      </c>
      <c r="AB16" s="19" t="s">
        <v>85</v>
      </c>
      <c r="AC16" s="19" t="str">
        <f aca="false">IF(H16="Punch","Entry",IF(OR(H16="Nexon",H16="Curvv"),"Compact","Premium"))</f>
        <v>Premium</v>
      </c>
      <c r="AD16" s="19" t="str">
        <f aca="false">IF(C16="18-25","Gen Z (18-25)",IF(C16="26-35","Young professionals (26-35)",IF(C16="36-45","Family builders (36-45)",IF(C16="46-55","Pre-retirement (46-55)","Seniors (55+)"))))</f>
        <v>Gen Z (18-25)</v>
      </c>
    </row>
    <row r="17" customFormat="false" ht="15" hidden="false" customHeight="false" outlineLevel="0" collapsed="false">
      <c r="A17" s="19" t="n">
        <v>16</v>
      </c>
      <c r="B17" s="19" t="s">
        <v>161</v>
      </c>
      <c r="C17" s="19" t="s">
        <v>31</v>
      </c>
      <c r="D17" s="19" t="n">
        <v>3</v>
      </c>
      <c r="E17" s="19" t="s">
        <v>175</v>
      </c>
      <c r="F17" s="19" t="s">
        <v>40</v>
      </c>
      <c r="G17" s="19" t="n">
        <v>2</v>
      </c>
      <c r="H17" s="19" t="s">
        <v>23</v>
      </c>
      <c r="I17" s="19" t="s">
        <v>53</v>
      </c>
      <c r="J17" s="19" t="s">
        <v>58</v>
      </c>
      <c r="K17" s="19" t="s">
        <v>172</v>
      </c>
      <c r="L17" s="19" t="n">
        <v>2</v>
      </c>
      <c r="M17" s="19" t="s">
        <v>62</v>
      </c>
      <c r="N17" s="19" t="s">
        <v>153</v>
      </c>
      <c r="O17" s="19" t="s">
        <v>178</v>
      </c>
      <c r="P17" s="19" t="s">
        <v>179</v>
      </c>
      <c r="Q17" s="19" t="s">
        <v>181</v>
      </c>
      <c r="R17" s="19" t="s">
        <v>77</v>
      </c>
      <c r="S17" s="19" t="s">
        <v>69</v>
      </c>
      <c r="T17" s="19" t="s">
        <v>180</v>
      </c>
      <c r="U17" s="19" t="s">
        <v>91</v>
      </c>
      <c r="V17" s="19" t="s">
        <v>173</v>
      </c>
      <c r="W17" s="19" t="s">
        <v>174</v>
      </c>
      <c r="X17" s="19" t="s">
        <v>166</v>
      </c>
      <c r="Y17" s="19" t="s">
        <v>160</v>
      </c>
      <c r="Z17" s="19"/>
      <c r="AA17" s="19" t="s">
        <v>102</v>
      </c>
      <c r="AB17" s="19" t="s">
        <v>85</v>
      </c>
      <c r="AC17" s="19" t="str">
        <f aca="false">IF(H17="Punch","Entry",IF(OR(H17="Nexon",H17="Curvv"),"Compact","Premium"))</f>
        <v>Premium</v>
      </c>
      <c r="AD17" s="19" t="str">
        <f aca="false">IF(C17="18-25","Gen Z (18-25)",IF(C17="26-35","Young professionals (26-35)",IF(C17="36-45","Family builders (36-45)",IF(C17="46-55","Pre-retirement (46-55)","Seniors (55+)"))))</f>
        <v>Family builders (36-45)</v>
      </c>
    </row>
    <row r="18" customFormat="false" ht="15" hidden="false" customHeight="false" outlineLevel="0" collapsed="false">
      <c r="A18" s="19" t="n">
        <v>17</v>
      </c>
      <c r="B18" s="19" t="s">
        <v>149</v>
      </c>
      <c r="C18" s="19" t="s">
        <v>31</v>
      </c>
      <c r="D18" s="19" t="n">
        <v>3</v>
      </c>
      <c r="E18" s="19" t="s">
        <v>175</v>
      </c>
      <c r="F18" s="19" t="s">
        <v>41</v>
      </c>
      <c r="G18" s="19" t="n">
        <v>3</v>
      </c>
      <c r="H18" s="19" t="s">
        <v>24</v>
      </c>
      <c r="I18" s="19" t="s">
        <v>51</v>
      </c>
      <c r="J18" s="19" t="s">
        <v>58</v>
      </c>
      <c r="K18" s="19" t="s">
        <v>177</v>
      </c>
      <c r="L18" s="19" t="n">
        <v>3</v>
      </c>
      <c r="M18" s="19" t="s">
        <v>62</v>
      </c>
      <c r="N18" s="19" t="s">
        <v>153</v>
      </c>
      <c r="O18" s="19" t="s">
        <v>169</v>
      </c>
      <c r="P18" s="19" t="s">
        <v>170</v>
      </c>
      <c r="Q18" s="19" t="s">
        <v>171</v>
      </c>
      <c r="R18" s="19" t="s">
        <v>77</v>
      </c>
      <c r="S18" s="19" t="s">
        <v>69</v>
      </c>
      <c r="T18" s="19" t="s">
        <v>157</v>
      </c>
      <c r="U18" s="19" t="s">
        <v>90</v>
      </c>
      <c r="V18" s="19" t="s">
        <v>158</v>
      </c>
      <c r="W18" s="19" t="s">
        <v>159</v>
      </c>
      <c r="X18" s="19" t="s">
        <v>166</v>
      </c>
      <c r="Y18" s="19" t="s">
        <v>166</v>
      </c>
      <c r="Z18" s="19" t="s">
        <v>176</v>
      </c>
      <c r="AA18" s="19" t="s">
        <v>97</v>
      </c>
      <c r="AB18" s="19" t="s">
        <v>85</v>
      </c>
      <c r="AC18" s="19" t="str">
        <f aca="false">IF(H18="Punch","Entry",IF(OR(H18="Nexon",H18="Curvv"),"Compact","Premium"))</f>
        <v>Premium</v>
      </c>
      <c r="AD18" s="19" t="str">
        <f aca="false">IF(C18="18-25","Gen Z (18-25)",IF(C18="26-35","Young professionals (26-35)",IF(C18="36-45","Family builders (36-45)",IF(C18="46-55","Pre-retirement (46-55)","Seniors (55+)"))))</f>
        <v>Family builders (36-45)</v>
      </c>
    </row>
    <row r="19" customFormat="false" ht="15" hidden="false" customHeight="false" outlineLevel="0" collapsed="false">
      <c r="A19" s="19" t="n">
        <v>18</v>
      </c>
      <c r="B19" s="19" t="s">
        <v>161</v>
      </c>
      <c r="C19" s="19" t="s">
        <v>32</v>
      </c>
      <c r="D19" s="19" t="n">
        <v>4</v>
      </c>
      <c r="E19" s="19" t="s">
        <v>175</v>
      </c>
      <c r="F19" s="19" t="s">
        <v>40</v>
      </c>
      <c r="G19" s="19" t="n">
        <v>2</v>
      </c>
      <c r="H19" s="19" t="s">
        <v>23</v>
      </c>
      <c r="I19" s="19" t="s">
        <v>54</v>
      </c>
      <c r="J19" s="19" t="s">
        <v>58</v>
      </c>
      <c r="K19" s="19" t="s">
        <v>172</v>
      </c>
      <c r="L19" s="19" t="n">
        <v>2</v>
      </c>
      <c r="M19" s="19" t="s">
        <v>62</v>
      </c>
      <c r="N19" s="19" t="s">
        <v>153</v>
      </c>
      <c r="O19" s="19" t="s">
        <v>178</v>
      </c>
      <c r="P19" s="19" t="s">
        <v>179</v>
      </c>
      <c r="Q19" s="19" t="s">
        <v>181</v>
      </c>
      <c r="R19" s="19" t="s">
        <v>76</v>
      </c>
      <c r="S19" s="19" t="s">
        <v>71</v>
      </c>
      <c r="T19" s="19" t="s">
        <v>180</v>
      </c>
      <c r="U19" s="19" t="s">
        <v>91</v>
      </c>
      <c r="V19" s="19" t="s">
        <v>173</v>
      </c>
      <c r="W19" s="19" t="s">
        <v>174</v>
      </c>
      <c r="X19" s="19" t="s">
        <v>166</v>
      </c>
      <c r="Y19" s="19" t="s">
        <v>160</v>
      </c>
      <c r="Z19" s="19"/>
      <c r="AA19" s="19" t="s">
        <v>104</v>
      </c>
      <c r="AB19" s="19" t="s">
        <v>85</v>
      </c>
      <c r="AC19" s="19" t="str">
        <f aca="false">IF(H19="Punch","Entry",IF(OR(H19="Nexon",H19="Curvv"),"Compact","Premium"))</f>
        <v>Premium</v>
      </c>
      <c r="AD19" s="19" t="str">
        <f aca="false">IF(C19="18-25","Gen Z (18-25)",IF(C19="26-35","Young professionals (26-35)",IF(C19="36-45","Family builders (36-45)",IF(C19="46-55","Pre-retirement (46-55)","Seniors (55+)"))))</f>
        <v>Pre-retirement (46-55)</v>
      </c>
    </row>
    <row r="20" customFormat="false" ht="15" hidden="false" customHeight="false" outlineLevel="0" collapsed="false">
      <c r="A20" s="19" t="n">
        <v>19</v>
      </c>
      <c r="B20" s="19" t="s">
        <v>161</v>
      </c>
      <c r="C20" s="19" t="s">
        <v>31</v>
      </c>
      <c r="D20" s="19" t="n">
        <v>3</v>
      </c>
      <c r="E20" s="19" t="s">
        <v>162</v>
      </c>
      <c r="F20" s="19" t="s">
        <v>42</v>
      </c>
      <c r="G20" s="19" t="n">
        <v>4</v>
      </c>
      <c r="H20" s="19" t="s">
        <v>21</v>
      </c>
      <c r="I20" s="19" t="s">
        <v>52</v>
      </c>
      <c r="J20" s="19" t="s">
        <v>58</v>
      </c>
      <c r="K20" s="19" t="s">
        <v>163</v>
      </c>
      <c r="L20" s="19" t="n">
        <v>4</v>
      </c>
      <c r="M20" s="19" t="s">
        <v>62</v>
      </c>
      <c r="N20" s="19" t="s">
        <v>153</v>
      </c>
      <c r="O20" s="19" t="s">
        <v>178</v>
      </c>
      <c r="P20" s="19" t="s">
        <v>179</v>
      </c>
      <c r="Q20" s="19" t="s">
        <v>156</v>
      </c>
      <c r="R20" s="19" t="s">
        <v>76</v>
      </c>
      <c r="S20" s="19" t="s">
        <v>69</v>
      </c>
      <c r="T20" s="19" t="s">
        <v>180</v>
      </c>
      <c r="U20" s="19" t="s">
        <v>91</v>
      </c>
      <c r="V20" s="19" t="s">
        <v>173</v>
      </c>
      <c r="W20" s="19" t="s">
        <v>174</v>
      </c>
      <c r="X20" s="19" t="s">
        <v>166</v>
      </c>
      <c r="Y20" s="19" t="s">
        <v>160</v>
      </c>
      <c r="Z20" s="19"/>
      <c r="AA20" s="19" t="s">
        <v>102</v>
      </c>
      <c r="AB20" s="19" t="s">
        <v>85</v>
      </c>
      <c r="AC20" s="19" t="str">
        <f aca="false">IF(H20="Punch","Entry",IF(OR(H20="Nexon",H20="Curvv"),"Compact","Premium"))</f>
        <v>Premium</v>
      </c>
      <c r="AD20" s="19" t="str">
        <f aca="false">IF(C20="18-25","Gen Z (18-25)",IF(C20="26-35","Young professionals (26-35)",IF(C20="36-45","Family builders (36-45)",IF(C20="46-55","Pre-retirement (46-55)","Seniors (55+)"))))</f>
        <v>Family builders (36-45)</v>
      </c>
    </row>
    <row r="21" customFormat="false" ht="15" hidden="false" customHeight="false" outlineLevel="0" collapsed="false">
      <c r="A21" s="19" t="n">
        <v>20</v>
      </c>
      <c r="B21" s="19" t="s">
        <v>149</v>
      </c>
      <c r="C21" s="19" t="s">
        <v>29</v>
      </c>
      <c r="D21" s="19" t="n">
        <v>1</v>
      </c>
      <c r="E21" s="19" t="s">
        <v>150</v>
      </c>
      <c r="F21" s="19" t="s">
        <v>39</v>
      </c>
      <c r="G21" s="19" t="n">
        <v>1</v>
      </c>
      <c r="H21" s="19" t="s">
        <v>20</v>
      </c>
      <c r="I21" s="19" t="s">
        <v>52</v>
      </c>
      <c r="J21" s="19" t="s">
        <v>151</v>
      </c>
      <c r="K21" s="19" t="s">
        <v>152</v>
      </c>
      <c r="L21" s="19" t="n">
        <v>1</v>
      </c>
      <c r="M21" s="19" t="s">
        <v>61</v>
      </c>
      <c r="N21" s="19" t="s">
        <v>153</v>
      </c>
      <c r="O21" s="19" t="s">
        <v>154</v>
      </c>
      <c r="P21" s="19" t="s">
        <v>155</v>
      </c>
      <c r="Q21" s="19" t="s">
        <v>167</v>
      </c>
      <c r="R21" s="19" t="s">
        <v>77</v>
      </c>
      <c r="S21" s="19" t="s">
        <v>70</v>
      </c>
      <c r="T21" s="19" t="s">
        <v>157</v>
      </c>
      <c r="U21" s="19" t="s">
        <v>89</v>
      </c>
      <c r="V21" s="19" t="s">
        <v>164</v>
      </c>
      <c r="W21" s="19" t="s">
        <v>165</v>
      </c>
      <c r="X21" s="19" t="s">
        <v>160</v>
      </c>
      <c r="Y21" s="19" t="s">
        <v>160</v>
      </c>
      <c r="Z21" s="19"/>
      <c r="AA21" s="19" t="s">
        <v>100</v>
      </c>
      <c r="AB21" s="19" t="s">
        <v>101</v>
      </c>
      <c r="AC21" s="19" t="str">
        <f aca="false">IF(H21="Punch","Entry",IF(OR(H21="Nexon",H21="Curvv"),"Compact","Premium"))</f>
        <v>Entry</v>
      </c>
      <c r="AD21" s="19" t="str">
        <f aca="false">IF(C21="18-25","Gen Z (18-25)",IF(C21="26-35","Young professionals (26-35)",IF(C21="36-45","Family builders (36-45)",IF(C21="46-55","Pre-retirement (46-55)","Seniors (55+)"))))</f>
        <v>Gen Z (18-25)</v>
      </c>
    </row>
    <row r="22" customFormat="false" ht="15" hidden="false" customHeight="false" outlineLevel="0" collapsed="false">
      <c r="A22" s="19" t="n">
        <v>21</v>
      </c>
      <c r="B22" s="19" t="s">
        <v>161</v>
      </c>
      <c r="C22" s="19" t="s">
        <v>29</v>
      </c>
      <c r="D22" s="19" t="n">
        <v>1</v>
      </c>
      <c r="E22" s="19" t="s">
        <v>150</v>
      </c>
      <c r="F22" s="19" t="s">
        <v>41</v>
      </c>
      <c r="G22" s="19" t="n">
        <v>3</v>
      </c>
      <c r="H22" s="19" t="s">
        <v>22</v>
      </c>
      <c r="I22" s="19" t="s">
        <v>51</v>
      </c>
      <c r="J22" s="19" t="s">
        <v>58</v>
      </c>
      <c r="K22" s="19" t="s">
        <v>177</v>
      </c>
      <c r="L22" s="19" t="n">
        <v>3</v>
      </c>
      <c r="M22" s="19" t="s">
        <v>61</v>
      </c>
      <c r="N22" s="19" t="s">
        <v>153</v>
      </c>
      <c r="O22" s="19" t="s">
        <v>169</v>
      </c>
      <c r="P22" s="19" t="s">
        <v>170</v>
      </c>
      <c r="Q22" s="19" t="s">
        <v>171</v>
      </c>
      <c r="R22" s="19" t="s">
        <v>76</v>
      </c>
      <c r="S22" s="19" t="s">
        <v>70</v>
      </c>
      <c r="T22" s="19" t="s">
        <v>168</v>
      </c>
      <c r="U22" s="19" t="s">
        <v>90</v>
      </c>
      <c r="V22" s="19" t="s">
        <v>158</v>
      </c>
      <c r="W22" s="19" t="s">
        <v>159</v>
      </c>
      <c r="X22" s="19" t="s">
        <v>166</v>
      </c>
      <c r="Y22" s="19" t="s">
        <v>160</v>
      </c>
      <c r="Z22" s="19"/>
      <c r="AA22" s="19" t="s">
        <v>103</v>
      </c>
      <c r="AB22" s="19" t="s">
        <v>99</v>
      </c>
      <c r="AC22" s="19" t="str">
        <f aca="false">IF(H22="Punch","Entry",IF(OR(H22="Nexon",H22="Curvv"),"Compact","Premium"))</f>
        <v>Compact</v>
      </c>
      <c r="AD22" s="19" t="str">
        <f aca="false">IF(C22="18-25","Gen Z (18-25)",IF(C22="26-35","Young professionals (26-35)",IF(C22="36-45","Family builders (36-45)",IF(C22="46-55","Pre-retirement (46-55)","Seniors (55+)"))))</f>
        <v>Gen Z (18-25)</v>
      </c>
    </row>
    <row r="23" customFormat="false" ht="15" hidden="false" customHeight="false" outlineLevel="0" collapsed="false">
      <c r="A23" s="19" t="n">
        <v>22</v>
      </c>
      <c r="B23" s="19" t="s">
        <v>161</v>
      </c>
      <c r="C23" s="19" t="s">
        <v>31</v>
      </c>
      <c r="D23" s="19" t="n">
        <v>3</v>
      </c>
      <c r="E23" s="19" t="s">
        <v>175</v>
      </c>
      <c r="F23" s="19" t="s">
        <v>41</v>
      </c>
      <c r="G23" s="19" t="n">
        <v>3</v>
      </c>
      <c r="H23" s="19" t="s">
        <v>24</v>
      </c>
      <c r="I23" s="19" t="s">
        <v>54</v>
      </c>
      <c r="J23" s="19" t="s">
        <v>58</v>
      </c>
      <c r="K23" s="19" t="s">
        <v>177</v>
      </c>
      <c r="L23" s="19" t="n">
        <v>3</v>
      </c>
      <c r="M23" s="19" t="s">
        <v>62</v>
      </c>
      <c r="N23" s="19" t="s">
        <v>153</v>
      </c>
      <c r="O23" s="19" t="s">
        <v>154</v>
      </c>
      <c r="P23" s="19" t="s">
        <v>155</v>
      </c>
      <c r="Q23" s="19" t="s">
        <v>167</v>
      </c>
      <c r="R23" s="19" t="s">
        <v>75</v>
      </c>
      <c r="S23" s="19" t="s">
        <v>70</v>
      </c>
      <c r="T23" s="19" t="s">
        <v>157</v>
      </c>
      <c r="U23" s="19" t="s">
        <v>89</v>
      </c>
      <c r="V23" s="19" t="s">
        <v>164</v>
      </c>
      <c r="W23" s="19" t="s">
        <v>165</v>
      </c>
      <c r="X23" s="19" t="s">
        <v>166</v>
      </c>
      <c r="Y23" s="19" t="s">
        <v>160</v>
      </c>
      <c r="Z23" s="19"/>
      <c r="AA23" s="19" t="s">
        <v>100</v>
      </c>
      <c r="AB23" s="19" t="s">
        <v>101</v>
      </c>
      <c r="AC23" s="19" t="str">
        <f aca="false">IF(H23="Punch","Entry",IF(OR(H23="Nexon",H23="Curvv"),"Compact","Premium"))</f>
        <v>Premium</v>
      </c>
      <c r="AD23" s="19" t="str">
        <f aca="false">IF(C23="18-25","Gen Z (18-25)",IF(C23="26-35","Young professionals (26-35)",IF(C23="36-45","Family builders (36-45)",IF(C23="46-55","Pre-retirement (46-55)","Seniors (55+)"))))</f>
        <v>Family builders (36-45)</v>
      </c>
    </row>
    <row r="24" customFormat="false" ht="15" hidden="false" customHeight="false" outlineLevel="0" collapsed="false">
      <c r="A24" s="19" t="n">
        <v>23</v>
      </c>
      <c r="B24" s="19" t="s">
        <v>149</v>
      </c>
      <c r="C24" s="19" t="s">
        <v>29</v>
      </c>
      <c r="D24" s="19" t="n">
        <v>1</v>
      </c>
      <c r="E24" s="19" t="s">
        <v>150</v>
      </c>
      <c r="F24" s="19" t="s">
        <v>39</v>
      </c>
      <c r="G24" s="19" t="n">
        <v>1</v>
      </c>
      <c r="H24" s="19" t="s">
        <v>20</v>
      </c>
      <c r="I24" s="19" t="s">
        <v>53</v>
      </c>
      <c r="J24" s="19" t="s">
        <v>58</v>
      </c>
      <c r="K24" s="19" t="s">
        <v>152</v>
      </c>
      <c r="L24" s="19" t="n">
        <v>1</v>
      </c>
      <c r="M24" s="19" t="s">
        <v>61</v>
      </c>
      <c r="N24" s="19" t="s">
        <v>153</v>
      </c>
      <c r="O24" s="19" t="s">
        <v>154</v>
      </c>
      <c r="P24" s="19" t="s">
        <v>155</v>
      </c>
      <c r="Q24" s="19" t="s">
        <v>167</v>
      </c>
      <c r="R24" s="19" t="s">
        <v>77</v>
      </c>
      <c r="S24" s="19" t="s">
        <v>69</v>
      </c>
      <c r="T24" s="19" t="s">
        <v>157</v>
      </c>
      <c r="U24" s="19" t="s">
        <v>91</v>
      </c>
      <c r="V24" s="19" t="s">
        <v>173</v>
      </c>
      <c r="W24" s="19" t="s">
        <v>174</v>
      </c>
      <c r="X24" s="19" t="s">
        <v>160</v>
      </c>
      <c r="Y24" s="19" t="s">
        <v>160</v>
      </c>
      <c r="Z24" s="19"/>
      <c r="AA24" s="19" t="s">
        <v>102</v>
      </c>
      <c r="AB24" s="19" t="s">
        <v>85</v>
      </c>
      <c r="AC24" s="19" t="str">
        <f aca="false">IF(H24="Punch","Entry",IF(OR(H24="Nexon",H24="Curvv"),"Compact","Premium"))</f>
        <v>Entry</v>
      </c>
      <c r="AD24" s="19" t="str">
        <f aca="false">IF(C24="18-25","Gen Z (18-25)",IF(C24="26-35","Young professionals (26-35)",IF(C24="36-45","Family builders (36-45)",IF(C24="46-55","Pre-retirement (46-55)","Seniors (55+)"))))</f>
        <v>Gen Z (18-25)</v>
      </c>
    </row>
    <row r="25" customFormat="false" ht="15" hidden="false" customHeight="false" outlineLevel="0" collapsed="false">
      <c r="A25" s="19" t="n">
        <v>24</v>
      </c>
      <c r="B25" s="19" t="s">
        <v>149</v>
      </c>
      <c r="C25" s="19" t="s">
        <v>32</v>
      </c>
      <c r="D25" s="19" t="n">
        <v>4</v>
      </c>
      <c r="E25" s="19" t="s">
        <v>175</v>
      </c>
      <c r="F25" s="19" t="s">
        <v>41</v>
      </c>
      <c r="G25" s="19" t="n">
        <v>3</v>
      </c>
      <c r="H25" s="19" t="s">
        <v>21</v>
      </c>
      <c r="I25" s="19" t="s">
        <v>54</v>
      </c>
      <c r="J25" s="19" t="s">
        <v>58</v>
      </c>
      <c r="K25" s="19" t="s">
        <v>177</v>
      </c>
      <c r="L25" s="19" t="n">
        <v>3</v>
      </c>
      <c r="M25" s="19" t="s">
        <v>62</v>
      </c>
      <c r="N25" s="19" t="s">
        <v>153</v>
      </c>
      <c r="O25" s="19" t="s">
        <v>178</v>
      </c>
      <c r="P25" s="19" t="s">
        <v>179</v>
      </c>
      <c r="Q25" s="19" t="s">
        <v>156</v>
      </c>
      <c r="R25" s="19" t="s">
        <v>76</v>
      </c>
      <c r="S25" s="19" t="s">
        <v>71</v>
      </c>
      <c r="T25" s="19" t="s">
        <v>157</v>
      </c>
      <c r="U25" s="19" t="s">
        <v>91</v>
      </c>
      <c r="V25" s="19" t="s">
        <v>173</v>
      </c>
      <c r="W25" s="19" t="s">
        <v>174</v>
      </c>
      <c r="X25" s="19" t="s">
        <v>166</v>
      </c>
      <c r="Y25" s="19" t="s">
        <v>160</v>
      </c>
      <c r="Z25" s="19"/>
      <c r="AA25" s="19" t="s">
        <v>104</v>
      </c>
      <c r="AB25" s="19" t="s">
        <v>85</v>
      </c>
      <c r="AC25" s="19" t="str">
        <f aca="false">IF(H25="Punch","Entry",IF(OR(H25="Nexon",H25="Curvv"),"Compact","Premium"))</f>
        <v>Premium</v>
      </c>
      <c r="AD25" s="19" t="str">
        <f aca="false">IF(C25="18-25","Gen Z (18-25)",IF(C25="26-35","Young professionals (26-35)",IF(C25="36-45","Family builders (36-45)",IF(C25="46-55","Pre-retirement (46-55)","Seniors (55+)"))))</f>
        <v>Pre-retirement (46-55)</v>
      </c>
    </row>
    <row r="26" customFormat="false" ht="15" hidden="false" customHeight="false" outlineLevel="0" collapsed="false">
      <c r="A26" s="19" t="n">
        <v>25</v>
      </c>
      <c r="B26" s="19" t="s">
        <v>149</v>
      </c>
      <c r="C26" s="19" t="s">
        <v>31</v>
      </c>
      <c r="D26" s="19" t="n">
        <v>3</v>
      </c>
      <c r="E26" s="19" t="s">
        <v>175</v>
      </c>
      <c r="F26" s="19" t="s">
        <v>41</v>
      </c>
      <c r="G26" s="19" t="n">
        <v>3</v>
      </c>
      <c r="H26" s="19" t="s">
        <v>21</v>
      </c>
      <c r="I26" s="19" t="s">
        <v>53</v>
      </c>
      <c r="J26" s="19" t="s">
        <v>58</v>
      </c>
      <c r="K26" s="19" t="s">
        <v>177</v>
      </c>
      <c r="L26" s="19" t="n">
        <v>3</v>
      </c>
      <c r="M26" s="19" t="s">
        <v>62</v>
      </c>
      <c r="N26" s="19" t="s">
        <v>153</v>
      </c>
      <c r="O26" s="19" t="s">
        <v>178</v>
      </c>
      <c r="P26" s="19" t="s">
        <v>179</v>
      </c>
      <c r="Q26" s="19" t="s">
        <v>156</v>
      </c>
      <c r="R26" s="19" t="s">
        <v>77</v>
      </c>
      <c r="S26" s="19" t="s">
        <v>70</v>
      </c>
      <c r="T26" s="19" t="s">
        <v>180</v>
      </c>
      <c r="U26" s="19" t="s">
        <v>90</v>
      </c>
      <c r="V26" s="19" t="s">
        <v>158</v>
      </c>
      <c r="W26" s="19" t="s">
        <v>159</v>
      </c>
      <c r="X26" s="19" t="s">
        <v>166</v>
      </c>
      <c r="Y26" s="19" t="s">
        <v>160</v>
      </c>
      <c r="Z26" s="19"/>
      <c r="AA26" s="19" t="s">
        <v>103</v>
      </c>
      <c r="AB26" s="19" t="s">
        <v>99</v>
      </c>
      <c r="AC26" s="19" t="str">
        <f aca="false">IF(H26="Punch","Entry",IF(OR(H26="Nexon",H26="Curvv"),"Compact","Premium"))</f>
        <v>Premium</v>
      </c>
      <c r="AD26" s="19" t="str">
        <f aca="false">IF(C26="18-25","Gen Z (18-25)",IF(C26="26-35","Young professionals (26-35)",IF(C26="36-45","Family builders (36-45)",IF(C26="46-55","Pre-retirement (46-55)","Seniors (55+)"))))</f>
        <v>Family builders (36-45)</v>
      </c>
    </row>
    <row r="27" customFormat="false" ht="15" hidden="false" customHeight="false" outlineLevel="0" collapsed="false">
      <c r="A27" s="19" t="n">
        <v>26</v>
      </c>
      <c r="B27" s="19" t="s">
        <v>161</v>
      </c>
      <c r="C27" s="19" t="s">
        <v>32</v>
      </c>
      <c r="D27" s="19" t="n">
        <v>4</v>
      </c>
      <c r="E27" s="19" t="s">
        <v>175</v>
      </c>
      <c r="F27" s="19" t="s">
        <v>41</v>
      </c>
      <c r="G27" s="19" t="n">
        <v>3</v>
      </c>
      <c r="H27" s="19" t="s">
        <v>22</v>
      </c>
      <c r="I27" s="19" t="s">
        <v>53</v>
      </c>
      <c r="J27" s="19" t="s">
        <v>58</v>
      </c>
      <c r="K27" s="19" t="s">
        <v>177</v>
      </c>
      <c r="L27" s="19" t="n">
        <v>3</v>
      </c>
      <c r="M27" s="19" t="s">
        <v>61</v>
      </c>
      <c r="N27" s="19" t="s">
        <v>153</v>
      </c>
      <c r="O27" s="19" t="s">
        <v>169</v>
      </c>
      <c r="P27" s="19" t="s">
        <v>179</v>
      </c>
      <c r="Q27" s="19" t="s">
        <v>156</v>
      </c>
      <c r="R27" s="19" t="s">
        <v>75</v>
      </c>
      <c r="S27" s="19" t="s">
        <v>69</v>
      </c>
      <c r="T27" s="19" t="s">
        <v>180</v>
      </c>
      <c r="U27" s="19" t="s">
        <v>91</v>
      </c>
      <c r="V27" s="19" t="s">
        <v>173</v>
      </c>
      <c r="W27" s="19" t="s">
        <v>174</v>
      </c>
      <c r="X27" s="19" t="s">
        <v>166</v>
      </c>
      <c r="Y27" s="19" t="s">
        <v>160</v>
      </c>
      <c r="Z27" s="19"/>
      <c r="AA27" s="19" t="s">
        <v>102</v>
      </c>
      <c r="AB27" s="19" t="s">
        <v>85</v>
      </c>
      <c r="AC27" s="19" t="str">
        <f aca="false">IF(H27="Punch","Entry",IF(OR(H27="Nexon",H27="Curvv"),"Compact","Premium"))</f>
        <v>Compact</v>
      </c>
      <c r="AD27" s="19" t="str">
        <f aca="false">IF(C27="18-25","Gen Z (18-25)",IF(C27="26-35","Young professionals (26-35)",IF(C27="36-45","Family builders (36-45)",IF(C27="46-55","Pre-retirement (46-55)","Seniors (55+)"))))</f>
        <v>Pre-retirement (46-55)</v>
      </c>
    </row>
    <row r="28" customFormat="false" ht="15" hidden="false" customHeight="false" outlineLevel="0" collapsed="false">
      <c r="A28" s="19" t="n">
        <v>27</v>
      </c>
      <c r="B28" s="19" t="s">
        <v>161</v>
      </c>
      <c r="C28" s="19" t="s">
        <v>33</v>
      </c>
      <c r="D28" s="19" t="n">
        <v>5</v>
      </c>
      <c r="E28" s="19" t="s">
        <v>162</v>
      </c>
      <c r="F28" s="19" t="s">
        <v>42</v>
      </c>
      <c r="G28" s="19" t="n">
        <v>4</v>
      </c>
      <c r="H28" s="19" t="s">
        <v>21</v>
      </c>
      <c r="I28" s="19" t="s">
        <v>51</v>
      </c>
      <c r="J28" s="19" t="s">
        <v>151</v>
      </c>
      <c r="K28" s="19" t="s">
        <v>163</v>
      </c>
      <c r="L28" s="19" t="n">
        <v>4</v>
      </c>
      <c r="M28" s="19" t="s">
        <v>62</v>
      </c>
      <c r="N28" s="19" t="s">
        <v>153</v>
      </c>
      <c r="O28" s="19" t="s">
        <v>169</v>
      </c>
      <c r="P28" s="19" t="s">
        <v>170</v>
      </c>
      <c r="Q28" s="19" t="s">
        <v>171</v>
      </c>
      <c r="R28" s="19" t="s">
        <v>77</v>
      </c>
      <c r="S28" s="19" t="s">
        <v>69</v>
      </c>
      <c r="T28" s="19" t="s">
        <v>157</v>
      </c>
      <c r="U28" s="19" t="s">
        <v>90</v>
      </c>
      <c r="V28" s="19" t="s">
        <v>158</v>
      </c>
      <c r="W28" s="19" t="s">
        <v>159</v>
      </c>
      <c r="X28" s="19" t="s">
        <v>166</v>
      </c>
      <c r="Y28" s="19" t="s">
        <v>160</v>
      </c>
      <c r="Z28" s="19"/>
      <c r="AA28" s="19" t="s">
        <v>97</v>
      </c>
      <c r="AB28" s="19" t="s">
        <v>85</v>
      </c>
      <c r="AC28" s="19" t="str">
        <f aca="false">IF(H28="Punch","Entry",IF(OR(H28="Nexon",H28="Curvv"),"Compact","Premium"))</f>
        <v>Premium</v>
      </c>
      <c r="AD28" s="19" t="str">
        <f aca="false">IF(C28="18-25","Gen Z (18-25)",IF(C28="26-35","Young professionals (26-35)",IF(C28="36-45","Family builders (36-45)",IF(C28="46-55","Pre-retirement (46-55)","Seniors (55+)"))))</f>
        <v>Seniors (55+)</v>
      </c>
    </row>
    <row r="29" customFormat="false" ht="15" hidden="false" customHeight="false" outlineLevel="0" collapsed="false">
      <c r="A29" s="19" t="n">
        <v>28</v>
      </c>
      <c r="B29" s="19" t="s">
        <v>149</v>
      </c>
      <c r="C29" s="19" t="s">
        <v>29</v>
      </c>
      <c r="D29" s="19" t="n">
        <v>1</v>
      </c>
      <c r="E29" s="19" t="s">
        <v>150</v>
      </c>
      <c r="F29" s="19" t="s">
        <v>42</v>
      </c>
      <c r="G29" s="19" t="n">
        <v>4</v>
      </c>
      <c r="H29" s="19" t="s">
        <v>20</v>
      </c>
      <c r="I29" s="19" t="s">
        <v>52</v>
      </c>
      <c r="J29" s="19" t="s">
        <v>58</v>
      </c>
      <c r="K29" s="19" t="s">
        <v>163</v>
      </c>
      <c r="L29" s="19" t="n">
        <v>4</v>
      </c>
      <c r="M29" s="19" t="s">
        <v>61</v>
      </c>
      <c r="N29" s="19" t="s">
        <v>153</v>
      </c>
      <c r="O29" s="19" t="s">
        <v>154</v>
      </c>
      <c r="P29" s="19" t="s">
        <v>155</v>
      </c>
      <c r="Q29" s="19" t="s">
        <v>167</v>
      </c>
      <c r="R29" s="19" t="s">
        <v>76</v>
      </c>
      <c r="S29" s="19" t="s">
        <v>69</v>
      </c>
      <c r="T29" s="19" t="s">
        <v>157</v>
      </c>
      <c r="U29" s="19" t="s">
        <v>89</v>
      </c>
      <c r="V29" s="19" t="s">
        <v>164</v>
      </c>
      <c r="W29" s="19" t="s">
        <v>165</v>
      </c>
      <c r="X29" s="19" t="s">
        <v>160</v>
      </c>
      <c r="Y29" s="19" t="s">
        <v>160</v>
      </c>
      <c r="Z29" s="19"/>
      <c r="AA29" s="19" t="s">
        <v>98</v>
      </c>
      <c r="AB29" s="19" t="s">
        <v>99</v>
      </c>
      <c r="AC29" s="19" t="str">
        <f aca="false">IF(H29="Punch","Entry",IF(OR(H29="Nexon",H29="Curvv"),"Compact","Premium"))</f>
        <v>Entry</v>
      </c>
      <c r="AD29" s="19" t="str">
        <f aca="false">IF(C29="18-25","Gen Z (18-25)",IF(C29="26-35","Young professionals (26-35)",IF(C29="36-45","Family builders (36-45)",IF(C29="46-55","Pre-retirement (46-55)","Seniors (55+)"))))</f>
        <v>Gen Z (18-25)</v>
      </c>
    </row>
    <row r="30" customFormat="false" ht="15" hidden="false" customHeight="false" outlineLevel="0" collapsed="false">
      <c r="A30" s="19" t="n">
        <v>29</v>
      </c>
      <c r="B30" s="19" t="s">
        <v>161</v>
      </c>
      <c r="C30" s="19" t="s">
        <v>31</v>
      </c>
      <c r="D30" s="19" t="n">
        <v>3</v>
      </c>
      <c r="E30" s="19" t="s">
        <v>175</v>
      </c>
      <c r="F30" s="19" t="s">
        <v>41</v>
      </c>
      <c r="G30" s="19" t="n">
        <v>3</v>
      </c>
      <c r="H30" s="19" t="s">
        <v>21</v>
      </c>
      <c r="I30" s="19" t="s">
        <v>51</v>
      </c>
      <c r="J30" s="19" t="s">
        <v>58</v>
      </c>
      <c r="K30" s="19" t="s">
        <v>177</v>
      </c>
      <c r="L30" s="19" t="n">
        <v>3</v>
      </c>
      <c r="M30" s="19" t="s">
        <v>62</v>
      </c>
      <c r="N30" s="19" t="s">
        <v>153</v>
      </c>
      <c r="O30" s="19" t="s">
        <v>169</v>
      </c>
      <c r="P30" s="19" t="s">
        <v>170</v>
      </c>
      <c r="Q30" s="19" t="s">
        <v>171</v>
      </c>
      <c r="R30" s="19" t="s">
        <v>77</v>
      </c>
      <c r="S30" s="19" t="s">
        <v>69</v>
      </c>
      <c r="T30" s="19" t="s">
        <v>180</v>
      </c>
      <c r="U30" s="19" t="s">
        <v>91</v>
      </c>
      <c r="V30" s="19" t="s">
        <v>173</v>
      </c>
      <c r="W30" s="19" t="s">
        <v>174</v>
      </c>
      <c r="X30" s="19" t="s">
        <v>166</v>
      </c>
      <c r="Y30" s="19" t="s">
        <v>160</v>
      </c>
      <c r="Z30" s="19"/>
      <c r="AA30" s="19" t="s">
        <v>102</v>
      </c>
      <c r="AB30" s="19" t="s">
        <v>85</v>
      </c>
      <c r="AC30" s="19" t="str">
        <f aca="false">IF(H30="Punch","Entry",IF(OR(H30="Nexon",H30="Curvv"),"Compact","Premium"))</f>
        <v>Premium</v>
      </c>
      <c r="AD30" s="19" t="str">
        <f aca="false">IF(C30="18-25","Gen Z (18-25)",IF(C30="26-35","Young professionals (26-35)",IF(C30="36-45","Family builders (36-45)",IF(C30="46-55","Pre-retirement (46-55)","Seniors (55+)"))))</f>
        <v>Family builders (36-45)</v>
      </c>
    </row>
    <row r="31" customFormat="false" ht="15" hidden="false" customHeight="false" outlineLevel="0" collapsed="false">
      <c r="A31" s="19" t="n">
        <v>30</v>
      </c>
      <c r="B31" s="19" t="s">
        <v>161</v>
      </c>
      <c r="C31" s="19" t="s">
        <v>33</v>
      </c>
      <c r="D31" s="19" t="n">
        <v>5</v>
      </c>
      <c r="E31" s="19" t="s">
        <v>182</v>
      </c>
      <c r="F31" s="19" t="s">
        <v>39</v>
      </c>
      <c r="G31" s="19" t="n">
        <v>1</v>
      </c>
      <c r="H31" s="19" t="s">
        <v>22</v>
      </c>
      <c r="I31" s="19" t="s">
        <v>54</v>
      </c>
      <c r="J31" s="19" t="s">
        <v>58</v>
      </c>
      <c r="K31" s="19" t="s">
        <v>152</v>
      </c>
      <c r="L31" s="19" t="n">
        <v>1</v>
      </c>
      <c r="M31" s="19" t="s">
        <v>61</v>
      </c>
      <c r="N31" s="19" t="s">
        <v>153</v>
      </c>
      <c r="O31" s="19" t="s">
        <v>169</v>
      </c>
      <c r="P31" s="19" t="s">
        <v>179</v>
      </c>
      <c r="Q31" s="19" t="s">
        <v>156</v>
      </c>
      <c r="R31" s="19" t="s">
        <v>76</v>
      </c>
      <c r="S31" s="19" t="s">
        <v>71</v>
      </c>
      <c r="T31" s="19" t="s">
        <v>180</v>
      </c>
      <c r="U31" s="19" t="s">
        <v>90</v>
      </c>
      <c r="V31" s="19" t="s">
        <v>158</v>
      </c>
      <c r="W31" s="19" t="s">
        <v>159</v>
      </c>
      <c r="X31" s="19" t="s">
        <v>166</v>
      </c>
      <c r="Y31" s="19" t="s">
        <v>160</v>
      </c>
      <c r="Z31" s="19"/>
      <c r="AA31" s="19" t="s">
        <v>97</v>
      </c>
      <c r="AB31" s="19" t="s">
        <v>85</v>
      </c>
      <c r="AC31" s="19" t="str">
        <f aca="false">IF(H31="Punch","Entry",IF(OR(H31="Nexon",H31="Curvv"),"Compact","Premium"))</f>
        <v>Compact</v>
      </c>
      <c r="AD31" s="19" t="str">
        <f aca="false">IF(C31="18-25","Gen Z (18-25)",IF(C31="26-35","Young professionals (26-35)",IF(C31="36-45","Family builders (36-45)",IF(C31="46-55","Pre-retirement (46-55)","Seniors (55+)"))))</f>
        <v>Seniors (55+)</v>
      </c>
    </row>
    <row r="32" customFormat="false" ht="15" hidden="false" customHeight="false" outlineLevel="0" collapsed="false">
      <c r="A32" s="19" t="n">
        <v>31</v>
      </c>
      <c r="B32" s="19" t="s">
        <v>161</v>
      </c>
      <c r="C32" s="19" t="s">
        <v>31</v>
      </c>
      <c r="D32" s="19" t="n">
        <v>3</v>
      </c>
      <c r="E32" s="19" t="s">
        <v>162</v>
      </c>
      <c r="F32" s="19" t="s">
        <v>42</v>
      </c>
      <c r="G32" s="19" t="n">
        <v>4</v>
      </c>
      <c r="H32" s="19" t="s">
        <v>23</v>
      </c>
      <c r="I32" s="19" t="s">
        <v>53</v>
      </c>
      <c r="J32" s="19" t="s">
        <v>58</v>
      </c>
      <c r="K32" s="19" t="s">
        <v>163</v>
      </c>
      <c r="L32" s="19" t="n">
        <v>4</v>
      </c>
      <c r="M32" s="19" t="s">
        <v>62</v>
      </c>
      <c r="N32" s="19" t="s">
        <v>153</v>
      </c>
      <c r="O32" s="19" t="s">
        <v>178</v>
      </c>
      <c r="P32" s="19" t="s">
        <v>179</v>
      </c>
      <c r="Q32" s="19" t="s">
        <v>181</v>
      </c>
      <c r="R32" s="19" t="s">
        <v>76</v>
      </c>
      <c r="S32" s="19" t="s">
        <v>69</v>
      </c>
      <c r="T32" s="19" t="s">
        <v>157</v>
      </c>
      <c r="U32" s="19" t="s">
        <v>90</v>
      </c>
      <c r="V32" s="19" t="s">
        <v>158</v>
      </c>
      <c r="W32" s="19" t="s">
        <v>159</v>
      </c>
      <c r="X32" s="19" t="s">
        <v>166</v>
      </c>
      <c r="Y32" s="19" t="s">
        <v>166</v>
      </c>
      <c r="Z32" s="19" t="s">
        <v>176</v>
      </c>
      <c r="AA32" s="19" t="s">
        <v>103</v>
      </c>
      <c r="AB32" s="19" t="s">
        <v>99</v>
      </c>
      <c r="AC32" s="19" t="str">
        <f aca="false">IF(H32="Punch","Entry",IF(OR(H32="Nexon",H32="Curvv"),"Compact","Premium"))</f>
        <v>Premium</v>
      </c>
      <c r="AD32" s="19" t="str">
        <f aca="false">IF(C32="18-25","Gen Z (18-25)",IF(C32="26-35","Young professionals (26-35)",IF(C32="36-45","Family builders (36-45)",IF(C32="46-55","Pre-retirement (46-55)","Seniors (55+)"))))</f>
        <v>Family builders (36-45)</v>
      </c>
    </row>
    <row r="33" customFormat="false" ht="15" hidden="false" customHeight="false" outlineLevel="0" collapsed="false">
      <c r="A33" s="19" t="n">
        <v>32</v>
      </c>
      <c r="B33" s="19" t="s">
        <v>161</v>
      </c>
      <c r="C33" s="19" t="s">
        <v>29</v>
      </c>
      <c r="D33" s="19" t="n">
        <v>1</v>
      </c>
      <c r="E33" s="19" t="s">
        <v>150</v>
      </c>
      <c r="F33" s="19" t="s">
        <v>39</v>
      </c>
      <c r="G33" s="19" t="n">
        <v>1</v>
      </c>
      <c r="H33" s="19" t="s">
        <v>19</v>
      </c>
      <c r="I33" s="19" t="s">
        <v>51</v>
      </c>
      <c r="J33" s="19" t="s">
        <v>58</v>
      </c>
      <c r="K33" s="19" t="s">
        <v>177</v>
      </c>
      <c r="L33" s="19" t="n">
        <v>3</v>
      </c>
      <c r="M33" s="19" t="s">
        <v>61</v>
      </c>
      <c r="N33" s="19" t="s">
        <v>153</v>
      </c>
      <c r="O33" s="19" t="s">
        <v>169</v>
      </c>
      <c r="P33" s="19" t="s">
        <v>170</v>
      </c>
      <c r="Q33" s="19" t="s">
        <v>171</v>
      </c>
      <c r="R33" s="19" t="s">
        <v>76</v>
      </c>
      <c r="S33" s="19" t="s">
        <v>70</v>
      </c>
      <c r="T33" s="19" t="s">
        <v>168</v>
      </c>
      <c r="U33" s="19" t="s">
        <v>91</v>
      </c>
      <c r="V33" s="19" t="s">
        <v>173</v>
      </c>
      <c r="W33" s="19" t="s">
        <v>174</v>
      </c>
      <c r="X33" s="19" t="s">
        <v>160</v>
      </c>
      <c r="Y33" s="19" t="s">
        <v>160</v>
      </c>
      <c r="Z33" s="19"/>
      <c r="AA33" s="19" t="s">
        <v>102</v>
      </c>
      <c r="AB33" s="19" t="s">
        <v>85</v>
      </c>
      <c r="AC33" s="19" t="str">
        <f aca="false">IF(H33="Punch","Entry",IF(OR(H33="Nexon",H33="Curvv"),"Compact","Premium"))</f>
        <v>Compact</v>
      </c>
      <c r="AD33" s="19" t="str">
        <f aca="false">IF(C33="18-25","Gen Z (18-25)",IF(C33="26-35","Young professionals (26-35)",IF(C33="36-45","Family builders (36-45)",IF(C33="46-55","Pre-retirement (46-55)","Seniors (55+)"))))</f>
        <v>Gen Z (18-25)</v>
      </c>
    </row>
    <row r="34" customFormat="false" ht="15" hidden="false" customHeight="false" outlineLevel="0" collapsed="false">
      <c r="A34" s="19" t="n">
        <v>33</v>
      </c>
      <c r="B34" s="19" t="s">
        <v>161</v>
      </c>
      <c r="C34" s="19" t="s">
        <v>32</v>
      </c>
      <c r="D34" s="19" t="n">
        <v>4</v>
      </c>
      <c r="E34" s="19" t="s">
        <v>175</v>
      </c>
      <c r="F34" s="19" t="s">
        <v>41</v>
      </c>
      <c r="G34" s="19" t="n">
        <v>3</v>
      </c>
      <c r="H34" s="19" t="s">
        <v>19</v>
      </c>
      <c r="I34" s="19" t="s">
        <v>51</v>
      </c>
      <c r="J34" s="19" t="s">
        <v>151</v>
      </c>
      <c r="K34" s="19" t="s">
        <v>177</v>
      </c>
      <c r="L34" s="19" t="n">
        <v>3</v>
      </c>
      <c r="M34" s="19" t="s">
        <v>61</v>
      </c>
      <c r="N34" s="19" t="s">
        <v>153</v>
      </c>
      <c r="O34" s="19" t="s">
        <v>169</v>
      </c>
      <c r="P34" s="19" t="s">
        <v>170</v>
      </c>
      <c r="Q34" s="19" t="s">
        <v>171</v>
      </c>
      <c r="R34" s="19" t="s">
        <v>76</v>
      </c>
      <c r="S34" s="19" t="s">
        <v>69</v>
      </c>
      <c r="T34" s="19" t="s">
        <v>180</v>
      </c>
      <c r="U34" s="19" t="s">
        <v>89</v>
      </c>
      <c r="V34" s="19" t="s">
        <v>164</v>
      </c>
      <c r="W34" s="19" t="s">
        <v>165</v>
      </c>
      <c r="X34" s="19" t="s">
        <v>160</v>
      </c>
      <c r="Y34" s="19" t="s">
        <v>160</v>
      </c>
      <c r="Z34" s="19"/>
      <c r="AA34" s="19" t="s">
        <v>100</v>
      </c>
      <c r="AB34" s="19" t="s">
        <v>101</v>
      </c>
      <c r="AC34" s="19" t="str">
        <f aca="false">IF(H34="Punch","Entry",IF(OR(H34="Nexon",H34="Curvv"),"Compact","Premium"))</f>
        <v>Compact</v>
      </c>
      <c r="AD34" s="19" t="str">
        <f aca="false">IF(C34="18-25","Gen Z (18-25)",IF(C34="26-35","Young professionals (26-35)",IF(C34="36-45","Family builders (36-45)",IF(C34="46-55","Pre-retirement (46-55)","Seniors (55+)"))))</f>
        <v>Pre-retirement (46-55)</v>
      </c>
    </row>
    <row r="35" customFormat="false" ht="15" hidden="false" customHeight="false" outlineLevel="0" collapsed="false">
      <c r="A35" s="19" t="n">
        <v>34</v>
      </c>
      <c r="B35" s="19" t="s">
        <v>161</v>
      </c>
      <c r="C35" s="19" t="s">
        <v>29</v>
      </c>
      <c r="D35" s="19" t="n">
        <v>1</v>
      </c>
      <c r="E35" s="19" t="s">
        <v>150</v>
      </c>
      <c r="F35" s="19" t="s">
        <v>42</v>
      </c>
      <c r="G35" s="19" t="n">
        <v>4</v>
      </c>
      <c r="H35" s="19" t="s">
        <v>24</v>
      </c>
      <c r="I35" s="19" t="s">
        <v>51</v>
      </c>
      <c r="J35" s="19" t="s">
        <v>58</v>
      </c>
      <c r="K35" s="19" t="s">
        <v>163</v>
      </c>
      <c r="L35" s="19" t="n">
        <v>4</v>
      </c>
      <c r="M35" s="19" t="s">
        <v>62</v>
      </c>
      <c r="N35" s="19" t="s">
        <v>153</v>
      </c>
      <c r="O35" s="19" t="s">
        <v>169</v>
      </c>
      <c r="P35" s="19" t="s">
        <v>170</v>
      </c>
      <c r="Q35" s="19" t="s">
        <v>171</v>
      </c>
      <c r="R35" s="19" t="s">
        <v>75</v>
      </c>
      <c r="S35" s="19" t="s">
        <v>70</v>
      </c>
      <c r="T35" s="19" t="s">
        <v>157</v>
      </c>
      <c r="U35" s="19" t="s">
        <v>91</v>
      </c>
      <c r="V35" s="19" t="s">
        <v>173</v>
      </c>
      <c r="W35" s="19" t="s">
        <v>174</v>
      </c>
      <c r="X35" s="19" t="s">
        <v>166</v>
      </c>
      <c r="Y35" s="19" t="s">
        <v>160</v>
      </c>
      <c r="Z35" s="19"/>
      <c r="AA35" s="19" t="s">
        <v>102</v>
      </c>
      <c r="AB35" s="19" t="s">
        <v>85</v>
      </c>
      <c r="AC35" s="19" t="str">
        <f aca="false">IF(H35="Punch","Entry",IF(OR(H35="Nexon",H35="Curvv"),"Compact","Premium"))</f>
        <v>Premium</v>
      </c>
      <c r="AD35" s="19" t="str">
        <f aca="false">IF(C35="18-25","Gen Z (18-25)",IF(C35="26-35","Young professionals (26-35)",IF(C35="36-45","Family builders (36-45)",IF(C35="46-55","Pre-retirement (46-55)","Seniors (55+)"))))</f>
        <v>Gen Z (18-25)</v>
      </c>
    </row>
    <row r="36" customFormat="false" ht="15" hidden="false" customHeight="false" outlineLevel="0" collapsed="false">
      <c r="A36" s="19" t="n">
        <v>35</v>
      </c>
      <c r="B36" s="19" t="s">
        <v>161</v>
      </c>
      <c r="C36" s="19" t="s">
        <v>30</v>
      </c>
      <c r="D36" s="19" t="n">
        <v>2</v>
      </c>
      <c r="E36" s="19" t="s">
        <v>150</v>
      </c>
      <c r="F36" s="19" t="s">
        <v>39</v>
      </c>
      <c r="G36" s="19" t="n">
        <v>1</v>
      </c>
      <c r="H36" s="19" t="s">
        <v>24</v>
      </c>
      <c r="I36" s="19" t="s">
        <v>51</v>
      </c>
      <c r="J36" s="19" t="s">
        <v>151</v>
      </c>
      <c r="K36" s="19" t="s">
        <v>152</v>
      </c>
      <c r="L36" s="19" t="n">
        <v>1</v>
      </c>
      <c r="M36" s="19" t="s">
        <v>62</v>
      </c>
      <c r="N36" s="19" t="s">
        <v>153</v>
      </c>
      <c r="O36" s="19" t="s">
        <v>169</v>
      </c>
      <c r="P36" s="19" t="s">
        <v>170</v>
      </c>
      <c r="Q36" s="19" t="s">
        <v>171</v>
      </c>
      <c r="R36" s="19" t="s">
        <v>76</v>
      </c>
      <c r="S36" s="19" t="s">
        <v>69</v>
      </c>
      <c r="T36" s="19" t="s">
        <v>157</v>
      </c>
      <c r="U36" s="19" t="s">
        <v>91</v>
      </c>
      <c r="V36" s="19" t="s">
        <v>173</v>
      </c>
      <c r="W36" s="19" t="s">
        <v>174</v>
      </c>
      <c r="X36" s="19" t="s">
        <v>166</v>
      </c>
      <c r="Y36" s="19" t="s">
        <v>160</v>
      </c>
      <c r="Z36" s="19"/>
      <c r="AA36" s="19" t="s">
        <v>102</v>
      </c>
      <c r="AB36" s="19" t="s">
        <v>85</v>
      </c>
      <c r="AC36" s="19" t="str">
        <f aca="false">IF(H36="Punch","Entry",IF(OR(H36="Nexon",H36="Curvv"),"Compact","Premium"))</f>
        <v>Premium</v>
      </c>
      <c r="AD36" s="19" t="str">
        <f aca="false">IF(C36="18-25","Gen Z (18-25)",IF(C36="26-35","Young professionals (26-35)",IF(C36="36-45","Family builders (36-45)",IF(C36="46-55","Pre-retirement (46-55)","Seniors (55+)"))))</f>
        <v>Young professionals (26-35)</v>
      </c>
    </row>
    <row r="37" customFormat="false" ht="15" hidden="false" customHeight="false" outlineLevel="0" collapsed="false">
      <c r="A37" s="19" t="n">
        <v>36</v>
      </c>
      <c r="B37" s="19" t="s">
        <v>161</v>
      </c>
      <c r="C37" s="19" t="s">
        <v>32</v>
      </c>
      <c r="D37" s="19" t="n">
        <v>4</v>
      </c>
      <c r="E37" s="19" t="s">
        <v>175</v>
      </c>
      <c r="F37" s="19" t="s">
        <v>41</v>
      </c>
      <c r="G37" s="19" t="n">
        <v>3</v>
      </c>
      <c r="H37" s="19" t="s">
        <v>23</v>
      </c>
      <c r="I37" s="19" t="s">
        <v>54</v>
      </c>
      <c r="J37" s="19" t="s">
        <v>58</v>
      </c>
      <c r="K37" s="19" t="s">
        <v>177</v>
      </c>
      <c r="L37" s="19" t="n">
        <v>3</v>
      </c>
      <c r="M37" s="19" t="s">
        <v>62</v>
      </c>
      <c r="N37" s="19" t="s">
        <v>153</v>
      </c>
      <c r="O37" s="19" t="s">
        <v>178</v>
      </c>
      <c r="P37" s="19" t="s">
        <v>179</v>
      </c>
      <c r="Q37" s="19" t="s">
        <v>181</v>
      </c>
      <c r="R37" s="19" t="s">
        <v>75</v>
      </c>
      <c r="S37" s="19" t="s">
        <v>69</v>
      </c>
      <c r="T37" s="19" t="s">
        <v>180</v>
      </c>
      <c r="U37" s="19" t="s">
        <v>91</v>
      </c>
      <c r="V37" s="19" t="s">
        <v>173</v>
      </c>
      <c r="W37" s="19" t="s">
        <v>174</v>
      </c>
      <c r="X37" s="19" t="s">
        <v>166</v>
      </c>
      <c r="Y37" s="19" t="s">
        <v>160</v>
      </c>
      <c r="Z37" s="19"/>
      <c r="AA37" s="19" t="s">
        <v>102</v>
      </c>
      <c r="AB37" s="19" t="s">
        <v>85</v>
      </c>
      <c r="AC37" s="19" t="str">
        <f aca="false">IF(H37="Punch","Entry",IF(OR(H37="Nexon",H37="Curvv"),"Compact","Premium"))</f>
        <v>Premium</v>
      </c>
      <c r="AD37" s="19" t="str">
        <f aca="false">IF(C37="18-25","Gen Z (18-25)",IF(C37="26-35","Young professionals (26-35)",IF(C37="36-45","Family builders (36-45)",IF(C37="46-55","Pre-retirement (46-55)","Seniors (55+)"))))</f>
        <v>Pre-retirement (46-55)</v>
      </c>
    </row>
    <row r="38" customFormat="false" ht="15" hidden="false" customHeight="false" outlineLevel="0" collapsed="false">
      <c r="A38" s="19" t="n">
        <v>37</v>
      </c>
      <c r="B38" s="19" t="s">
        <v>161</v>
      </c>
      <c r="C38" s="19" t="s">
        <v>31</v>
      </c>
      <c r="D38" s="19" t="n">
        <v>3</v>
      </c>
      <c r="E38" s="19" t="s">
        <v>175</v>
      </c>
      <c r="F38" s="19" t="s">
        <v>41</v>
      </c>
      <c r="G38" s="19" t="n">
        <v>3</v>
      </c>
      <c r="H38" s="19" t="s">
        <v>23</v>
      </c>
      <c r="I38" s="19" t="s">
        <v>53</v>
      </c>
      <c r="J38" s="19" t="s">
        <v>58</v>
      </c>
      <c r="K38" s="19" t="s">
        <v>177</v>
      </c>
      <c r="L38" s="19" t="n">
        <v>3</v>
      </c>
      <c r="M38" s="19" t="s">
        <v>62</v>
      </c>
      <c r="N38" s="19" t="s">
        <v>153</v>
      </c>
      <c r="O38" s="19" t="s">
        <v>178</v>
      </c>
      <c r="P38" s="19" t="s">
        <v>179</v>
      </c>
      <c r="Q38" s="19" t="s">
        <v>181</v>
      </c>
      <c r="R38" s="19" t="s">
        <v>76</v>
      </c>
      <c r="S38" s="19" t="s">
        <v>70</v>
      </c>
      <c r="T38" s="19" t="s">
        <v>157</v>
      </c>
      <c r="U38" s="19" t="s">
        <v>91</v>
      </c>
      <c r="V38" s="19" t="s">
        <v>173</v>
      </c>
      <c r="W38" s="19" t="s">
        <v>174</v>
      </c>
      <c r="X38" s="19" t="s">
        <v>166</v>
      </c>
      <c r="Y38" s="19" t="s">
        <v>160</v>
      </c>
      <c r="Z38" s="19"/>
      <c r="AA38" s="19" t="s">
        <v>102</v>
      </c>
      <c r="AB38" s="19" t="s">
        <v>85</v>
      </c>
      <c r="AC38" s="19" t="str">
        <f aca="false">IF(H38="Punch","Entry",IF(OR(H38="Nexon",H38="Curvv"),"Compact","Premium"))</f>
        <v>Premium</v>
      </c>
      <c r="AD38" s="19" t="str">
        <f aca="false">IF(C38="18-25","Gen Z (18-25)",IF(C38="26-35","Young professionals (26-35)",IF(C38="36-45","Family builders (36-45)",IF(C38="46-55","Pre-retirement (46-55)","Seniors (55+)"))))</f>
        <v>Family builders (36-45)</v>
      </c>
    </row>
    <row r="39" customFormat="false" ht="15" hidden="false" customHeight="false" outlineLevel="0" collapsed="false">
      <c r="A39" s="19" t="n">
        <v>38</v>
      </c>
      <c r="B39" s="19" t="s">
        <v>161</v>
      </c>
      <c r="C39" s="19" t="s">
        <v>32</v>
      </c>
      <c r="D39" s="19" t="n">
        <v>4</v>
      </c>
      <c r="E39" s="19" t="s">
        <v>162</v>
      </c>
      <c r="F39" s="19" t="s">
        <v>42</v>
      </c>
      <c r="G39" s="19" t="n">
        <v>4</v>
      </c>
      <c r="H39" s="19" t="s">
        <v>21</v>
      </c>
      <c r="I39" s="19" t="s">
        <v>53</v>
      </c>
      <c r="J39" s="19" t="s">
        <v>58</v>
      </c>
      <c r="K39" s="19" t="s">
        <v>163</v>
      </c>
      <c r="L39" s="19" t="n">
        <v>4</v>
      </c>
      <c r="M39" s="19" t="s">
        <v>62</v>
      </c>
      <c r="N39" s="19" t="s">
        <v>153</v>
      </c>
      <c r="O39" s="19" t="s">
        <v>178</v>
      </c>
      <c r="P39" s="19" t="s">
        <v>179</v>
      </c>
      <c r="Q39" s="19" t="s">
        <v>181</v>
      </c>
      <c r="R39" s="19" t="s">
        <v>76</v>
      </c>
      <c r="S39" s="19" t="s">
        <v>71</v>
      </c>
      <c r="T39" s="19" t="s">
        <v>180</v>
      </c>
      <c r="U39" s="19" t="s">
        <v>90</v>
      </c>
      <c r="V39" s="19" t="s">
        <v>158</v>
      </c>
      <c r="W39" s="19" t="s">
        <v>159</v>
      </c>
      <c r="X39" s="19" t="s">
        <v>166</v>
      </c>
      <c r="Y39" s="19" t="s">
        <v>160</v>
      </c>
      <c r="Z39" s="19"/>
      <c r="AA39" s="19" t="s">
        <v>97</v>
      </c>
      <c r="AB39" s="19" t="s">
        <v>85</v>
      </c>
      <c r="AC39" s="19" t="str">
        <f aca="false">IF(H39="Punch","Entry",IF(OR(H39="Nexon",H39="Curvv"),"Compact","Premium"))</f>
        <v>Premium</v>
      </c>
      <c r="AD39" s="19" t="str">
        <f aca="false">IF(C39="18-25","Gen Z (18-25)",IF(C39="26-35","Young professionals (26-35)",IF(C39="36-45","Family builders (36-45)",IF(C39="46-55","Pre-retirement (46-55)","Seniors (55+)"))))</f>
        <v>Pre-retirement (46-55)</v>
      </c>
    </row>
    <row r="40" customFormat="false" ht="15" hidden="false" customHeight="false" outlineLevel="0" collapsed="false">
      <c r="A40" s="19" t="n">
        <v>39</v>
      </c>
      <c r="B40" s="19" t="s">
        <v>161</v>
      </c>
      <c r="C40" s="19" t="s">
        <v>31</v>
      </c>
      <c r="D40" s="19" t="n">
        <v>3</v>
      </c>
      <c r="E40" s="19" t="s">
        <v>175</v>
      </c>
      <c r="F40" s="19" t="s">
        <v>39</v>
      </c>
      <c r="G40" s="19" t="n">
        <v>1</v>
      </c>
      <c r="H40" s="19" t="s">
        <v>24</v>
      </c>
      <c r="I40" s="19" t="s">
        <v>53</v>
      </c>
      <c r="J40" s="19" t="s">
        <v>151</v>
      </c>
      <c r="K40" s="19" t="s">
        <v>152</v>
      </c>
      <c r="L40" s="19" t="n">
        <v>1</v>
      </c>
      <c r="M40" s="19" t="s">
        <v>62</v>
      </c>
      <c r="N40" s="19" t="s">
        <v>153</v>
      </c>
      <c r="O40" s="19" t="s">
        <v>154</v>
      </c>
      <c r="P40" s="19" t="s">
        <v>155</v>
      </c>
      <c r="Q40" s="19" t="s">
        <v>156</v>
      </c>
      <c r="R40" s="19" t="s">
        <v>77</v>
      </c>
      <c r="S40" s="19" t="s">
        <v>69</v>
      </c>
      <c r="T40" s="19" t="s">
        <v>157</v>
      </c>
      <c r="U40" s="19" t="s">
        <v>89</v>
      </c>
      <c r="V40" s="19" t="s">
        <v>164</v>
      </c>
      <c r="W40" s="19" t="s">
        <v>165</v>
      </c>
      <c r="X40" s="19" t="s">
        <v>166</v>
      </c>
      <c r="Y40" s="19" t="s">
        <v>160</v>
      </c>
      <c r="Z40" s="19"/>
      <c r="AA40" s="19" t="s">
        <v>105</v>
      </c>
      <c r="AB40" s="19" t="s">
        <v>101</v>
      </c>
      <c r="AC40" s="19" t="str">
        <f aca="false">IF(H40="Punch","Entry",IF(OR(H40="Nexon",H40="Curvv"),"Compact","Premium"))</f>
        <v>Premium</v>
      </c>
      <c r="AD40" s="19" t="str">
        <f aca="false">IF(C40="18-25","Gen Z (18-25)",IF(C40="26-35","Young professionals (26-35)",IF(C40="36-45","Family builders (36-45)",IF(C40="46-55","Pre-retirement (46-55)","Seniors (55+)"))))</f>
        <v>Family builders (36-45)</v>
      </c>
    </row>
    <row r="41" customFormat="false" ht="15" hidden="false" customHeight="false" outlineLevel="0" collapsed="false">
      <c r="A41" s="19" t="n">
        <v>40</v>
      </c>
      <c r="B41" s="19" t="s">
        <v>149</v>
      </c>
      <c r="C41" s="19" t="s">
        <v>31</v>
      </c>
      <c r="D41" s="19" t="n">
        <v>3</v>
      </c>
      <c r="E41" s="19" t="s">
        <v>175</v>
      </c>
      <c r="F41" s="19" t="s">
        <v>41</v>
      </c>
      <c r="G41" s="19" t="n">
        <v>3</v>
      </c>
      <c r="H41" s="19" t="s">
        <v>20</v>
      </c>
      <c r="I41" s="19" t="s">
        <v>52</v>
      </c>
      <c r="J41" s="19" t="s">
        <v>151</v>
      </c>
      <c r="K41" s="19" t="s">
        <v>177</v>
      </c>
      <c r="L41" s="19" t="n">
        <v>3</v>
      </c>
      <c r="M41" s="19" t="s">
        <v>61</v>
      </c>
      <c r="N41" s="19" t="s">
        <v>153</v>
      </c>
      <c r="O41" s="19" t="s">
        <v>154</v>
      </c>
      <c r="P41" s="19" t="s">
        <v>155</v>
      </c>
      <c r="Q41" s="19" t="s">
        <v>167</v>
      </c>
      <c r="R41" s="19" t="s">
        <v>75</v>
      </c>
      <c r="S41" s="19" t="s">
        <v>69</v>
      </c>
      <c r="T41" s="19" t="s">
        <v>157</v>
      </c>
      <c r="U41" s="19" t="s">
        <v>91</v>
      </c>
      <c r="V41" s="19" t="s">
        <v>173</v>
      </c>
      <c r="W41" s="19" t="s">
        <v>174</v>
      </c>
      <c r="X41" s="19" t="s">
        <v>160</v>
      </c>
      <c r="Y41" s="19" t="s">
        <v>160</v>
      </c>
      <c r="Z41" s="19"/>
      <c r="AA41" s="19" t="s">
        <v>104</v>
      </c>
      <c r="AB41" s="19" t="s">
        <v>85</v>
      </c>
      <c r="AC41" s="19" t="str">
        <f aca="false">IF(H41="Punch","Entry",IF(OR(H41="Nexon",H41="Curvv"),"Compact","Premium"))</f>
        <v>Entry</v>
      </c>
      <c r="AD41" s="19" t="str">
        <f aca="false">IF(C41="18-25","Gen Z (18-25)",IF(C41="26-35","Young professionals (26-35)",IF(C41="36-45","Family builders (36-45)",IF(C41="46-55","Pre-retirement (46-55)","Seniors (55+)"))))</f>
        <v>Family builders (36-45)</v>
      </c>
    </row>
    <row r="42" customFormat="false" ht="15" hidden="false" customHeight="false" outlineLevel="0" collapsed="false">
      <c r="A42" s="19" t="n">
        <v>41</v>
      </c>
      <c r="B42" s="19" t="s">
        <v>161</v>
      </c>
      <c r="C42" s="19" t="s">
        <v>30</v>
      </c>
      <c r="D42" s="19" t="n">
        <v>2</v>
      </c>
      <c r="E42" s="19" t="s">
        <v>150</v>
      </c>
      <c r="F42" s="19" t="s">
        <v>41</v>
      </c>
      <c r="G42" s="19" t="n">
        <v>3</v>
      </c>
      <c r="H42" s="19" t="s">
        <v>22</v>
      </c>
      <c r="I42" s="19" t="s">
        <v>52</v>
      </c>
      <c r="J42" s="19" t="s">
        <v>58</v>
      </c>
      <c r="K42" s="19" t="s">
        <v>177</v>
      </c>
      <c r="L42" s="19" t="n">
        <v>3</v>
      </c>
      <c r="M42" s="19" t="s">
        <v>61</v>
      </c>
      <c r="N42" s="19" t="s">
        <v>153</v>
      </c>
      <c r="O42" s="19" t="s">
        <v>169</v>
      </c>
      <c r="P42" s="19" t="s">
        <v>179</v>
      </c>
      <c r="Q42" s="19" t="s">
        <v>156</v>
      </c>
      <c r="R42" s="19" t="s">
        <v>75</v>
      </c>
      <c r="S42" s="19" t="s">
        <v>70</v>
      </c>
      <c r="T42" s="19" t="s">
        <v>168</v>
      </c>
      <c r="U42" s="19" t="s">
        <v>89</v>
      </c>
      <c r="V42" s="19" t="s">
        <v>164</v>
      </c>
      <c r="W42" s="19" t="s">
        <v>165</v>
      </c>
      <c r="X42" s="19" t="s">
        <v>166</v>
      </c>
      <c r="Y42" s="19" t="s">
        <v>160</v>
      </c>
      <c r="Z42" s="19"/>
      <c r="AA42" s="19" t="s">
        <v>98</v>
      </c>
      <c r="AB42" s="19" t="s">
        <v>99</v>
      </c>
      <c r="AC42" s="19" t="str">
        <f aca="false">IF(H42="Punch","Entry",IF(OR(H42="Nexon",H42="Curvv"),"Compact","Premium"))</f>
        <v>Compact</v>
      </c>
      <c r="AD42" s="19" t="str">
        <f aca="false">IF(C42="18-25","Gen Z (18-25)",IF(C42="26-35","Young professionals (26-35)",IF(C42="36-45","Family builders (36-45)",IF(C42="46-55","Pre-retirement (46-55)","Seniors (55+)"))))</f>
        <v>Young professionals (26-35)</v>
      </c>
    </row>
    <row r="43" customFormat="false" ht="15" hidden="false" customHeight="false" outlineLevel="0" collapsed="false">
      <c r="A43" s="19" t="n">
        <v>42</v>
      </c>
      <c r="B43" s="19" t="s">
        <v>161</v>
      </c>
      <c r="C43" s="19" t="s">
        <v>32</v>
      </c>
      <c r="D43" s="19" t="n">
        <v>4</v>
      </c>
      <c r="E43" s="19" t="s">
        <v>162</v>
      </c>
      <c r="F43" s="19" t="s">
        <v>42</v>
      </c>
      <c r="G43" s="19" t="n">
        <v>4</v>
      </c>
      <c r="H43" s="19" t="s">
        <v>21</v>
      </c>
      <c r="I43" s="19" t="s">
        <v>53</v>
      </c>
      <c r="J43" s="19" t="s">
        <v>58</v>
      </c>
      <c r="K43" s="19" t="s">
        <v>163</v>
      </c>
      <c r="L43" s="19" t="n">
        <v>4</v>
      </c>
      <c r="M43" s="19" t="s">
        <v>62</v>
      </c>
      <c r="N43" s="19" t="s">
        <v>153</v>
      </c>
      <c r="O43" s="19" t="s">
        <v>178</v>
      </c>
      <c r="P43" s="19" t="s">
        <v>179</v>
      </c>
      <c r="Q43" s="19" t="s">
        <v>156</v>
      </c>
      <c r="R43" s="19" t="s">
        <v>75</v>
      </c>
      <c r="S43" s="19" t="s">
        <v>69</v>
      </c>
      <c r="T43" s="19" t="s">
        <v>180</v>
      </c>
      <c r="U43" s="19" t="s">
        <v>90</v>
      </c>
      <c r="V43" s="19" t="s">
        <v>158</v>
      </c>
      <c r="W43" s="19" t="s">
        <v>159</v>
      </c>
      <c r="X43" s="19" t="s">
        <v>166</v>
      </c>
      <c r="Y43" s="19" t="s">
        <v>160</v>
      </c>
      <c r="Z43" s="19"/>
      <c r="AA43" s="19" t="s">
        <v>97</v>
      </c>
      <c r="AB43" s="19" t="s">
        <v>85</v>
      </c>
      <c r="AC43" s="19" t="str">
        <f aca="false">IF(H43="Punch","Entry",IF(OR(H43="Nexon",H43="Curvv"),"Compact","Premium"))</f>
        <v>Premium</v>
      </c>
      <c r="AD43" s="19" t="str">
        <f aca="false">IF(C43="18-25","Gen Z (18-25)",IF(C43="26-35","Young professionals (26-35)",IF(C43="36-45","Family builders (36-45)",IF(C43="46-55","Pre-retirement (46-55)","Seniors (55+)"))))</f>
        <v>Pre-retirement (46-55)</v>
      </c>
    </row>
    <row r="44" customFormat="false" ht="15" hidden="false" customHeight="false" outlineLevel="0" collapsed="false">
      <c r="A44" s="19" t="n">
        <v>43</v>
      </c>
      <c r="B44" s="19" t="s">
        <v>149</v>
      </c>
      <c r="C44" s="19" t="s">
        <v>31</v>
      </c>
      <c r="D44" s="19" t="n">
        <v>3</v>
      </c>
      <c r="E44" s="19" t="s">
        <v>162</v>
      </c>
      <c r="F44" s="19" t="s">
        <v>42</v>
      </c>
      <c r="G44" s="19" t="n">
        <v>4</v>
      </c>
      <c r="H44" s="19" t="s">
        <v>21</v>
      </c>
      <c r="I44" s="19" t="s">
        <v>51</v>
      </c>
      <c r="J44" s="19" t="s">
        <v>58</v>
      </c>
      <c r="K44" s="19" t="s">
        <v>163</v>
      </c>
      <c r="L44" s="19" t="n">
        <v>4</v>
      </c>
      <c r="M44" s="19" t="s">
        <v>62</v>
      </c>
      <c r="N44" s="19" t="s">
        <v>153</v>
      </c>
      <c r="O44" s="19" t="s">
        <v>169</v>
      </c>
      <c r="P44" s="19" t="s">
        <v>170</v>
      </c>
      <c r="Q44" s="19" t="s">
        <v>171</v>
      </c>
      <c r="R44" s="19" t="s">
        <v>77</v>
      </c>
      <c r="S44" s="19" t="s">
        <v>69</v>
      </c>
      <c r="T44" s="19" t="s">
        <v>180</v>
      </c>
      <c r="U44" s="19" t="s">
        <v>89</v>
      </c>
      <c r="V44" s="19" t="s">
        <v>164</v>
      </c>
      <c r="W44" s="19" t="s">
        <v>165</v>
      </c>
      <c r="X44" s="19" t="s">
        <v>166</v>
      </c>
      <c r="Y44" s="19" t="s">
        <v>160</v>
      </c>
      <c r="Z44" s="19"/>
      <c r="AA44" s="19" t="s">
        <v>98</v>
      </c>
      <c r="AB44" s="19" t="s">
        <v>99</v>
      </c>
      <c r="AC44" s="19" t="str">
        <f aca="false">IF(H44="Punch","Entry",IF(OR(H44="Nexon",H44="Curvv"),"Compact","Premium"))</f>
        <v>Premium</v>
      </c>
      <c r="AD44" s="19" t="str">
        <f aca="false">IF(C44="18-25","Gen Z (18-25)",IF(C44="26-35","Young professionals (26-35)",IF(C44="36-45","Family builders (36-45)",IF(C44="46-55","Pre-retirement (46-55)","Seniors (55+)"))))</f>
        <v>Family builders (36-45)</v>
      </c>
    </row>
    <row r="45" customFormat="false" ht="15" hidden="false" customHeight="false" outlineLevel="0" collapsed="false">
      <c r="A45" s="19" t="n">
        <v>44</v>
      </c>
      <c r="B45" s="19" t="s">
        <v>161</v>
      </c>
      <c r="C45" s="19" t="s">
        <v>31</v>
      </c>
      <c r="D45" s="19" t="n">
        <v>3</v>
      </c>
      <c r="E45" s="19" t="s">
        <v>162</v>
      </c>
      <c r="F45" s="19" t="s">
        <v>42</v>
      </c>
      <c r="G45" s="19" t="n">
        <v>4</v>
      </c>
      <c r="H45" s="19" t="s">
        <v>21</v>
      </c>
      <c r="I45" s="19" t="s">
        <v>54</v>
      </c>
      <c r="J45" s="19" t="s">
        <v>58</v>
      </c>
      <c r="K45" s="19" t="s">
        <v>163</v>
      </c>
      <c r="L45" s="19" t="n">
        <v>4</v>
      </c>
      <c r="M45" s="19" t="s">
        <v>62</v>
      </c>
      <c r="N45" s="19" t="s">
        <v>153</v>
      </c>
      <c r="O45" s="19" t="s">
        <v>178</v>
      </c>
      <c r="P45" s="19" t="s">
        <v>179</v>
      </c>
      <c r="Q45" s="19" t="s">
        <v>156</v>
      </c>
      <c r="R45" s="19" t="s">
        <v>75</v>
      </c>
      <c r="S45" s="19" t="s">
        <v>69</v>
      </c>
      <c r="T45" s="19" t="s">
        <v>157</v>
      </c>
      <c r="U45" s="19" t="s">
        <v>89</v>
      </c>
      <c r="V45" s="19" t="s">
        <v>164</v>
      </c>
      <c r="W45" s="19" t="s">
        <v>165</v>
      </c>
      <c r="X45" s="19" t="s">
        <v>166</v>
      </c>
      <c r="Y45" s="19" t="s">
        <v>160</v>
      </c>
      <c r="Z45" s="19"/>
      <c r="AA45" s="19" t="s">
        <v>105</v>
      </c>
      <c r="AB45" s="19" t="s">
        <v>101</v>
      </c>
      <c r="AC45" s="19" t="str">
        <f aca="false">IF(H45="Punch","Entry",IF(OR(H45="Nexon",H45="Curvv"),"Compact","Premium"))</f>
        <v>Premium</v>
      </c>
      <c r="AD45" s="19" t="str">
        <f aca="false">IF(C45="18-25","Gen Z (18-25)",IF(C45="26-35","Young professionals (26-35)",IF(C45="36-45","Family builders (36-45)",IF(C45="46-55","Pre-retirement (46-55)","Seniors (55+)"))))</f>
        <v>Family builders (36-45)</v>
      </c>
    </row>
    <row r="46" customFormat="false" ht="15" hidden="false" customHeight="false" outlineLevel="0" collapsed="false">
      <c r="A46" s="19" t="n">
        <v>45</v>
      </c>
      <c r="B46" s="19" t="s">
        <v>161</v>
      </c>
      <c r="C46" s="19" t="s">
        <v>31</v>
      </c>
      <c r="D46" s="19" t="n">
        <v>3</v>
      </c>
      <c r="E46" s="19" t="s">
        <v>175</v>
      </c>
      <c r="F46" s="19" t="s">
        <v>39</v>
      </c>
      <c r="G46" s="19" t="n">
        <v>1</v>
      </c>
      <c r="H46" s="19" t="s">
        <v>23</v>
      </c>
      <c r="I46" s="19" t="s">
        <v>53</v>
      </c>
      <c r="J46" s="19" t="s">
        <v>58</v>
      </c>
      <c r="K46" s="19" t="s">
        <v>152</v>
      </c>
      <c r="L46" s="19" t="n">
        <v>1</v>
      </c>
      <c r="M46" s="19" t="s">
        <v>62</v>
      </c>
      <c r="N46" s="19" t="s">
        <v>153</v>
      </c>
      <c r="O46" s="19" t="s">
        <v>178</v>
      </c>
      <c r="P46" s="19" t="s">
        <v>179</v>
      </c>
      <c r="Q46" s="19" t="s">
        <v>156</v>
      </c>
      <c r="R46" s="19" t="s">
        <v>75</v>
      </c>
      <c r="S46" s="19" t="s">
        <v>70</v>
      </c>
      <c r="T46" s="19" t="s">
        <v>157</v>
      </c>
      <c r="U46" s="19" t="s">
        <v>91</v>
      </c>
      <c r="V46" s="19" t="s">
        <v>173</v>
      </c>
      <c r="W46" s="19" t="s">
        <v>174</v>
      </c>
      <c r="X46" s="19" t="s">
        <v>166</v>
      </c>
      <c r="Y46" s="19" t="s">
        <v>160</v>
      </c>
      <c r="Z46" s="19"/>
      <c r="AA46" s="19" t="s">
        <v>104</v>
      </c>
      <c r="AB46" s="19" t="s">
        <v>85</v>
      </c>
      <c r="AC46" s="19" t="str">
        <f aca="false">IF(H46="Punch","Entry",IF(OR(H46="Nexon",H46="Curvv"),"Compact","Premium"))</f>
        <v>Premium</v>
      </c>
      <c r="AD46" s="19" t="str">
        <f aca="false">IF(C46="18-25","Gen Z (18-25)",IF(C46="26-35","Young professionals (26-35)",IF(C46="36-45","Family builders (36-45)",IF(C46="46-55","Pre-retirement (46-55)","Seniors (55+)"))))</f>
        <v>Family builders (36-45)</v>
      </c>
    </row>
    <row r="47" customFormat="false" ht="15" hidden="false" customHeight="false" outlineLevel="0" collapsed="false">
      <c r="A47" s="19" t="n">
        <v>46</v>
      </c>
      <c r="B47" s="19" t="s">
        <v>149</v>
      </c>
      <c r="C47" s="19" t="s">
        <v>31</v>
      </c>
      <c r="D47" s="19" t="n">
        <v>3</v>
      </c>
      <c r="E47" s="19" t="s">
        <v>175</v>
      </c>
      <c r="F47" s="19" t="s">
        <v>39</v>
      </c>
      <c r="G47" s="19" t="n">
        <v>1</v>
      </c>
      <c r="H47" s="19" t="s">
        <v>20</v>
      </c>
      <c r="I47" s="19" t="s">
        <v>52</v>
      </c>
      <c r="J47" s="19" t="s">
        <v>151</v>
      </c>
      <c r="K47" s="19" t="s">
        <v>152</v>
      </c>
      <c r="L47" s="19" t="n">
        <v>1</v>
      </c>
      <c r="M47" s="19" t="s">
        <v>61</v>
      </c>
      <c r="N47" s="19" t="s">
        <v>153</v>
      </c>
      <c r="O47" s="19" t="s">
        <v>154</v>
      </c>
      <c r="P47" s="19" t="s">
        <v>155</v>
      </c>
      <c r="Q47" s="19" t="s">
        <v>167</v>
      </c>
      <c r="R47" s="19" t="s">
        <v>76</v>
      </c>
      <c r="S47" s="19" t="s">
        <v>69</v>
      </c>
      <c r="T47" s="19" t="s">
        <v>157</v>
      </c>
      <c r="U47" s="19" t="s">
        <v>90</v>
      </c>
      <c r="V47" s="19" t="s">
        <v>158</v>
      </c>
      <c r="W47" s="19" t="s">
        <v>159</v>
      </c>
      <c r="X47" s="19" t="s">
        <v>160</v>
      </c>
      <c r="Y47" s="19" t="s">
        <v>166</v>
      </c>
      <c r="Z47" s="19" t="s">
        <v>176</v>
      </c>
      <c r="AA47" s="19" t="s">
        <v>103</v>
      </c>
      <c r="AB47" s="19" t="s">
        <v>99</v>
      </c>
      <c r="AC47" s="19" t="str">
        <f aca="false">IF(H47="Punch","Entry",IF(OR(H47="Nexon",H47="Curvv"),"Compact","Premium"))</f>
        <v>Entry</v>
      </c>
      <c r="AD47" s="19" t="str">
        <f aca="false">IF(C47="18-25","Gen Z (18-25)",IF(C47="26-35","Young professionals (26-35)",IF(C47="36-45","Family builders (36-45)",IF(C47="46-55","Pre-retirement (46-55)","Seniors (55+)"))))</f>
        <v>Family builders (36-45)</v>
      </c>
    </row>
    <row r="48" customFormat="false" ht="15" hidden="false" customHeight="false" outlineLevel="0" collapsed="false">
      <c r="A48" s="19" t="n">
        <v>47</v>
      </c>
      <c r="B48" s="19" t="s">
        <v>161</v>
      </c>
      <c r="C48" s="19" t="s">
        <v>30</v>
      </c>
      <c r="D48" s="19" t="n">
        <v>2</v>
      </c>
      <c r="E48" s="19" t="s">
        <v>150</v>
      </c>
      <c r="F48" s="19" t="s">
        <v>41</v>
      </c>
      <c r="G48" s="19" t="n">
        <v>3</v>
      </c>
      <c r="H48" s="19" t="s">
        <v>19</v>
      </c>
      <c r="I48" s="19" t="s">
        <v>53</v>
      </c>
      <c r="J48" s="19" t="s">
        <v>151</v>
      </c>
      <c r="K48" s="19" t="s">
        <v>177</v>
      </c>
      <c r="L48" s="19" t="n">
        <v>3</v>
      </c>
      <c r="M48" s="19" t="s">
        <v>61</v>
      </c>
      <c r="N48" s="19" t="s">
        <v>153</v>
      </c>
      <c r="O48" s="19" t="s">
        <v>154</v>
      </c>
      <c r="P48" s="19" t="s">
        <v>155</v>
      </c>
      <c r="Q48" s="19" t="s">
        <v>156</v>
      </c>
      <c r="R48" s="19" t="s">
        <v>76</v>
      </c>
      <c r="S48" s="19" t="s">
        <v>69</v>
      </c>
      <c r="T48" s="19" t="s">
        <v>157</v>
      </c>
      <c r="U48" s="19" t="s">
        <v>90</v>
      </c>
      <c r="V48" s="19" t="s">
        <v>158</v>
      </c>
      <c r="W48" s="19" t="s">
        <v>159</v>
      </c>
      <c r="X48" s="19" t="s">
        <v>160</v>
      </c>
      <c r="Y48" s="19" t="s">
        <v>160</v>
      </c>
      <c r="Z48" s="19"/>
      <c r="AA48" s="19" t="s">
        <v>103</v>
      </c>
      <c r="AB48" s="19" t="s">
        <v>99</v>
      </c>
      <c r="AC48" s="19" t="str">
        <f aca="false">IF(H48="Punch","Entry",IF(OR(H48="Nexon",H48="Curvv"),"Compact","Premium"))</f>
        <v>Compact</v>
      </c>
      <c r="AD48" s="19" t="str">
        <f aca="false">IF(C48="18-25","Gen Z (18-25)",IF(C48="26-35","Young professionals (26-35)",IF(C48="36-45","Family builders (36-45)",IF(C48="46-55","Pre-retirement (46-55)","Seniors (55+)"))))</f>
        <v>Young professionals (26-35)</v>
      </c>
    </row>
    <row r="49" customFormat="false" ht="15" hidden="false" customHeight="false" outlineLevel="0" collapsed="false">
      <c r="A49" s="19" t="n">
        <v>48</v>
      </c>
      <c r="B49" s="19" t="s">
        <v>161</v>
      </c>
      <c r="C49" s="19" t="s">
        <v>32</v>
      </c>
      <c r="D49" s="19" t="n">
        <v>4</v>
      </c>
      <c r="E49" s="19" t="s">
        <v>175</v>
      </c>
      <c r="F49" s="19" t="s">
        <v>39</v>
      </c>
      <c r="G49" s="19" t="n">
        <v>1</v>
      </c>
      <c r="H49" s="19" t="s">
        <v>23</v>
      </c>
      <c r="I49" s="19" t="s">
        <v>53</v>
      </c>
      <c r="J49" s="19" t="s">
        <v>58</v>
      </c>
      <c r="K49" s="19" t="s">
        <v>152</v>
      </c>
      <c r="L49" s="19" t="n">
        <v>1</v>
      </c>
      <c r="M49" s="19" t="s">
        <v>62</v>
      </c>
      <c r="N49" s="19" t="s">
        <v>153</v>
      </c>
      <c r="O49" s="19" t="s">
        <v>178</v>
      </c>
      <c r="P49" s="19" t="s">
        <v>179</v>
      </c>
      <c r="Q49" s="19" t="s">
        <v>156</v>
      </c>
      <c r="R49" s="19" t="s">
        <v>75</v>
      </c>
      <c r="S49" s="19" t="s">
        <v>69</v>
      </c>
      <c r="T49" s="19" t="s">
        <v>180</v>
      </c>
      <c r="U49" s="19" t="s">
        <v>89</v>
      </c>
      <c r="V49" s="19" t="s">
        <v>164</v>
      </c>
      <c r="W49" s="19" t="s">
        <v>165</v>
      </c>
      <c r="X49" s="19" t="s">
        <v>166</v>
      </c>
      <c r="Y49" s="19" t="s">
        <v>160</v>
      </c>
      <c r="Z49" s="19"/>
      <c r="AA49" s="19" t="s">
        <v>98</v>
      </c>
      <c r="AB49" s="19" t="s">
        <v>99</v>
      </c>
      <c r="AC49" s="19" t="str">
        <f aca="false">IF(H49="Punch","Entry",IF(OR(H49="Nexon",H49="Curvv"),"Compact","Premium"))</f>
        <v>Premium</v>
      </c>
      <c r="AD49" s="19" t="str">
        <f aca="false">IF(C49="18-25","Gen Z (18-25)",IF(C49="26-35","Young professionals (26-35)",IF(C49="36-45","Family builders (36-45)",IF(C49="46-55","Pre-retirement (46-55)","Seniors (55+)"))))</f>
        <v>Pre-retirement (46-55)</v>
      </c>
    </row>
    <row r="50" customFormat="false" ht="15" hidden="false" customHeight="false" outlineLevel="0" collapsed="false">
      <c r="A50" s="19" t="n">
        <v>49</v>
      </c>
      <c r="B50" s="19" t="s">
        <v>161</v>
      </c>
      <c r="C50" s="19" t="s">
        <v>32</v>
      </c>
      <c r="D50" s="19" t="n">
        <v>4</v>
      </c>
      <c r="E50" s="19" t="s">
        <v>162</v>
      </c>
      <c r="F50" s="19" t="s">
        <v>42</v>
      </c>
      <c r="G50" s="19" t="n">
        <v>4</v>
      </c>
      <c r="H50" s="19" t="s">
        <v>23</v>
      </c>
      <c r="I50" s="19" t="s">
        <v>53</v>
      </c>
      <c r="J50" s="19" t="s">
        <v>58</v>
      </c>
      <c r="K50" s="19" t="s">
        <v>163</v>
      </c>
      <c r="L50" s="19" t="n">
        <v>4</v>
      </c>
      <c r="M50" s="19" t="s">
        <v>62</v>
      </c>
      <c r="N50" s="19" t="s">
        <v>153</v>
      </c>
      <c r="O50" s="19" t="s">
        <v>178</v>
      </c>
      <c r="P50" s="19" t="s">
        <v>179</v>
      </c>
      <c r="Q50" s="19" t="s">
        <v>156</v>
      </c>
      <c r="R50" s="19" t="s">
        <v>76</v>
      </c>
      <c r="S50" s="19" t="s">
        <v>69</v>
      </c>
      <c r="T50" s="19" t="s">
        <v>180</v>
      </c>
      <c r="U50" s="19" t="s">
        <v>89</v>
      </c>
      <c r="V50" s="19" t="s">
        <v>164</v>
      </c>
      <c r="W50" s="19" t="s">
        <v>165</v>
      </c>
      <c r="X50" s="19" t="s">
        <v>166</v>
      </c>
      <c r="Y50" s="19" t="s">
        <v>160</v>
      </c>
      <c r="Z50" s="19"/>
      <c r="AA50" s="19" t="s">
        <v>100</v>
      </c>
      <c r="AB50" s="19" t="s">
        <v>101</v>
      </c>
      <c r="AC50" s="19" t="str">
        <f aca="false">IF(H50="Punch","Entry",IF(OR(H50="Nexon",H50="Curvv"),"Compact","Premium"))</f>
        <v>Premium</v>
      </c>
      <c r="AD50" s="19" t="str">
        <f aca="false">IF(C50="18-25","Gen Z (18-25)",IF(C50="26-35","Young professionals (26-35)",IF(C50="36-45","Family builders (36-45)",IF(C50="46-55","Pre-retirement (46-55)","Seniors (55+)"))))</f>
        <v>Pre-retirement (46-55)</v>
      </c>
    </row>
    <row r="51" customFormat="false" ht="15" hidden="false" customHeight="false" outlineLevel="0" collapsed="false">
      <c r="A51" s="19" t="n">
        <v>50</v>
      </c>
      <c r="B51" s="19" t="s">
        <v>149</v>
      </c>
      <c r="C51" s="19" t="s">
        <v>29</v>
      </c>
      <c r="D51" s="19" t="n">
        <v>1</v>
      </c>
      <c r="E51" s="19" t="s">
        <v>150</v>
      </c>
      <c r="F51" s="19" t="s">
        <v>41</v>
      </c>
      <c r="G51" s="19" t="n">
        <v>3</v>
      </c>
      <c r="H51" s="19" t="s">
        <v>20</v>
      </c>
      <c r="I51" s="19" t="s">
        <v>51</v>
      </c>
      <c r="J51" s="19" t="s">
        <v>151</v>
      </c>
      <c r="K51" s="19" t="s">
        <v>172</v>
      </c>
      <c r="L51" s="19" t="n">
        <v>2</v>
      </c>
      <c r="M51" s="19" t="s">
        <v>61</v>
      </c>
      <c r="N51" s="19" t="s">
        <v>153</v>
      </c>
      <c r="O51" s="19" t="s">
        <v>169</v>
      </c>
      <c r="P51" s="19" t="s">
        <v>170</v>
      </c>
      <c r="Q51" s="19" t="s">
        <v>171</v>
      </c>
      <c r="R51" s="19" t="s">
        <v>77</v>
      </c>
      <c r="S51" s="19" t="s">
        <v>70</v>
      </c>
      <c r="T51" s="19" t="s">
        <v>168</v>
      </c>
      <c r="U51" s="19" t="s">
        <v>90</v>
      </c>
      <c r="V51" s="19" t="s">
        <v>158</v>
      </c>
      <c r="W51" s="19" t="s">
        <v>159</v>
      </c>
      <c r="X51" s="19" t="s">
        <v>160</v>
      </c>
      <c r="Y51" s="19" t="s">
        <v>160</v>
      </c>
      <c r="Z51" s="19"/>
      <c r="AA51" s="19" t="s">
        <v>103</v>
      </c>
      <c r="AB51" s="19" t="s">
        <v>99</v>
      </c>
      <c r="AC51" s="19" t="str">
        <f aca="false">IF(H51="Punch","Entry",IF(OR(H51="Nexon",H51="Curvv"),"Compact","Premium"))</f>
        <v>Entry</v>
      </c>
      <c r="AD51" s="19" t="str">
        <f aca="false">IF(C51="18-25","Gen Z (18-25)",IF(C51="26-35","Young professionals (26-35)",IF(C51="36-45","Family builders (36-45)",IF(C51="46-55","Pre-retirement (46-55)","Seniors (55+)"))))</f>
        <v>Gen Z (18-25)</v>
      </c>
    </row>
    <row r="52" customFormat="false" ht="15" hidden="false" customHeight="false" outlineLevel="0" collapsed="false">
      <c r="A52" s="19" t="n">
        <v>51</v>
      </c>
      <c r="B52" s="19" t="s">
        <v>149</v>
      </c>
      <c r="C52" s="19" t="s">
        <v>29</v>
      </c>
      <c r="D52" s="19" t="n">
        <v>1</v>
      </c>
      <c r="E52" s="19" t="s">
        <v>150</v>
      </c>
      <c r="F52" s="19" t="s">
        <v>40</v>
      </c>
      <c r="G52" s="19" t="n">
        <v>2</v>
      </c>
      <c r="H52" s="19" t="s">
        <v>20</v>
      </c>
      <c r="I52" s="19" t="s">
        <v>54</v>
      </c>
      <c r="J52" s="19" t="s">
        <v>151</v>
      </c>
      <c r="K52" s="19" t="s">
        <v>172</v>
      </c>
      <c r="L52" s="19" t="n">
        <v>2</v>
      </c>
      <c r="M52" s="19" t="s">
        <v>61</v>
      </c>
      <c r="N52" s="19" t="s">
        <v>153</v>
      </c>
      <c r="O52" s="19" t="s">
        <v>154</v>
      </c>
      <c r="P52" s="19" t="s">
        <v>155</v>
      </c>
      <c r="Q52" s="19" t="s">
        <v>167</v>
      </c>
      <c r="R52" s="19" t="s">
        <v>77</v>
      </c>
      <c r="S52" s="19" t="s">
        <v>69</v>
      </c>
      <c r="T52" s="19" t="s">
        <v>157</v>
      </c>
      <c r="U52" s="19" t="s">
        <v>90</v>
      </c>
      <c r="V52" s="19" t="s">
        <v>158</v>
      </c>
      <c r="W52" s="19" t="s">
        <v>159</v>
      </c>
      <c r="X52" s="19" t="s">
        <v>160</v>
      </c>
      <c r="Y52" s="19" t="s">
        <v>160</v>
      </c>
      <c r="Z52" s="19"/>
      <c r="AA52" s="19" t="s">
        <v>97</v>
      </c>
      <c r="AB52" s="19" t="s">
        <v>85</v>
      </c>
      <c r="AC52" s="19" t="str">
        <f aca="false">IF(H52="Punch","Entry",IF(OR(H52="Nexon",H52="Curvv"),"Compact","Premium"))</f>
        <v>Entry</v>
      </c>
      <c r="AD52" s="19" t="str">
        <f aca="false">IF(C52="18-25","Gen Z (18-25)",IF(C52="26-35","Young professionals (26-35)",IF(C52="36-45","Family builders (36-45)",IF(C52="46-55","Pre-retirement (46-55)","Seniors (55+)"))))</f>
        <v>Gen Z (18-25)</v>
      </c>
    </row>
    <row r="53" customFormat="false" ht="15" hidden="false" customHeight="false" outlineLevel="0" collapsed="false">
      <c r="A53" s="19" t="n">
        <v>52</v>
      </c>
      <c r="B53" s="19" t="s">
        <v>149</v>
      </c>
      <c r="C53" s="19" t="s">
        <v>29</v>
      </c>
      <c r="D53" s="19" t="n">
        <v>1</v>
      </c>
      <c r="E53" s="19" t="s">
        <v>150</v>
      </c>
      <c r="F53" s="19" t="s">
        <v>39</v>
      </c>
      <c r="G53" s="19" t="n">
        <v>1</v>
      </c>
      <c r="H53" s="19" t="s">
        <v>20</v>
      </c>
      <c r="I53" s="19" t="s">
        <v>54</v>
      </c>
      <c r="J53" s="19" t="s">
        <v>151</v>
      </c>
      <c r="K53" s="19" t="s">
        <v>152</v>
      </c>
      <c r="L53" s="19" t="n">
        <v>1</v>
      </c>
      <c r="M53" s="19" t="s">
        <v>61</v>
      </c>
      <c r="N53" s="19" t="s">
        <v>153</v>
      </c>
      <c r="O53" s="19" t="s">
        <v>154</v>
      </c>
      <c r="P53" s="19" t="s">
        <v>155</v>
      </c>
      <c r="Q53" s="19" t="s">
        <v>156</v>
      </c>
      <c r="R53" s="19" t="s">
        <v>77</v>
      </c>
      <c r="S53" s="19" t="s">
        <v>69</v>
      </c>
      <c r="T53" s="19" t="s">
        <v>168</v>
      </c>
      <c r="U53" s="19" t="s">
        <v>91</v>
      </c>
      <c r="V53" s="19" t="s">
        <v>173</v>
      </c>
      <c r="W53" s="19" t="s">
        <v>174</v>
      </c>
      <c r="X53" s="19" t="s">
        <v>160</v>
      </c>
      <c r="Y53" s="19" t="s">
        <v>160</v>
      </c>
      <c r="Z53" s="19"/>
      <c r="AA53" s="19" t="s">
        <v>102</v>
      </c>
      <c r="AB53" s="19" t="s">
        <v>85</v>
      </c>
      <c r="AC53" s="19" t="str">
        <f aca="false">IF(H53="Punch","Entry",IF(OR(H53="Nexon",H53="Curvv"),"Compact","Premium"))</f>
        <v>Entry</v>
      </c>
      <c r="AD53" s="19" t="str">
        <f aca="false">IF(C53="18-25","Gen Z (18-25)",IF(C53="26-35","Young professionals (26-35)",IF(C53="36-45","Family builders (36-45)",IF(C53="46-55","Pre-retirement (46-55)","Seniors (55+)"))))</f>
        <v>Gen Z (18-25)</v>
      </c>
    </row>
    <row r="54" customFormat="false" ht="15" hidden="false" customHeight="false" outlineLevel="0" collapsed="false">
      <c r="A54" s="19" t="n">
        <v>53</v>
      </c>
      <c r="B54" s="19" t="s">
        <v>161</v>
      </c>
      <c r="C54" s="19" t="s">
        <v>30</v>
      </c>
      <c r="D54" s="19" t="n">
        <v>2</v>
      </c>
      <c r="E54" s="19" t="s">
        <v>150</v>
      </c>
      <c r="F54" s="19" t="s">
        <v>41</v>
      </c>
      <c r="G54" s="19" t="n">
        <v>3</v>
      </c>
      <c r="H54" s="19" t="s">
        <v>22</v>
      </c>
      <c r="I54" s="19" t="s">
        <v>51</v>
      </c>
      <c r="J54" s="19" t="s">
        <v>58</v>
      </c>
      <c r="K54" s="19" t="s">
        <v>177</v>
      </c>
      <c r="L54" s="19" t="n">
        <v>3</v>
      </c>
      <c r="M54" s="19" t="s">
        <v>61</v>
      </c>
      <c r="N54" s="19" t="s">
        <v>153</v>
      </c>
      <c r="O54" s="19" t="s">
        <v>169</v>
      </c>
      <c r="P54" s="19" t="s">
        <v>170</v>
      </c>
      <c r="Q54" s="19" t="s">
        <v>171</v>
      </c>
      <c r="R54" s="19" t="s">
        <v>76</v>
      </c>
      <c r="S54" s="19" t="s">
        <v>70</v>
      </c>
      <c r="T54" s="19" t="s">
        <v>157</v>
      </c>
      <c r="U54" s="19" t="s">
        <v>89</v>
      </c>
      <c r="V54" s="19" t="s">
        <v>164</v>
      </c>
      <c r="W54" s="19" t="s">
        <v>165</v>
      </c>
      <c r="X54" s="19" t="s">
        <v>166</v>
      </c>
      <c r="Y54" s="19" t="s">
        <v>160</v>
      </c>
      <c r="Z54" s="19"/>
      <c r="AA54" s="19" t="s">
        <v>100</v>
      </c>
      <c r="AB54" s="19" t="s">
        <v>101</v>
      </c>
      <c r="AC54" s="19" t="str">
        <f aca="false">IF(H54="Punch","Entry",IF(OR(H54="Nexon",H54="Curvv"),"Compact","Premium"))</f>
        <v>Compact</v>
      </c>
      <c r="AD54" s="19" t="str">
        <f aca="false">IF(C54="18-25","Gen Z (18-25)",IF(C54="26-35","Young professionals (26-35)",IF(C54="36-45","Family builders (36-45)",IF(C54="46-55","Pre-retirement (46-55)","Seniors (55+)"))))</f>
        <v>Young professionals (26-35)</v>
      </c>
    </row>
    <row r="55" customFormat="false" ht="15" hidden="false" customHeight="false" outlineLevel="0" collapsed="false">
      <c r="A55" s="19" t="n">
        <v>54</v>
      </c>
      <c r="B55" s="19" t="s">
        <v>161</v>
      </c>
      <c r="C55" s="19" t="s">
        <v>30</v>
      </c>
      <c r="D55" s="19" t="n">
        <v>2</v>
      </c>
      <c r="E55" s="19" t="s">
        <v>150</v>
      </c>
      <c r="F55" s="19" t="s">
        <v>41</v>
      </c>
      <c r="G55" s="19" t="n">
        <v>3</v>
      </c>
      <c r="H55" s="19" t="s">
        <v>19</v>
      </c>
      <c r="I55" s="19" t="s">
        <v>51</v>
      </c>
      <c r="J55" s="19" t="s">
        <v>151</v>
      </c>
      <c r="K55" s="19" t="s">
        <v>177</v>
      </c>
      <c r="L55" s="19" t="n">
        <v>3</v>
      </c>
      <c r="M55" s="19" t="s">
        <v>61</v>
      </c>
      <c r="N55" s="19" t="s">
        <v>153</v>
      </c>
      <c r="O55" s="19" t="s">
        <v>169</v>
      </c>
      <c r="P55" s="19" t="s">
        <v>170</v>
      </c>
      <c r="Q55" s="19" t="s">
        <v>171</v>
      </c>
      <c r="R55" s="19" t="s">
        <v>75</v>
      </c>
      <c r="S55" s="19" t="s">
        <v>70</v>
      </c>
      <c r="T55" s="19" t="s">
        <v>157</v>
      </c>
      <c r="U55" s="19" t="s">
        <v>90</v>
      </c>
      <c r="V55" s="19" t="s">
        <v>158</v>
      </c>
      <c r="W55" s="19" t="s">
        <v>159</v>
      </c>
      <c r="X55" s="19" t="s">
        <v>160</v>
      </c>
      <c r="Y55" s="19" t="s">
        <v>166</v>
      </c>
      <c r="Z55" s="19" t="s">
        <v>176</v>
      </c>
      <c r="AA55" s="19" t="s">
        <v>103</v>
      </c>
      <c r="AB55" s="19" t="s">
        <v>99</v>
      </c>
      <c r="AC55" s="19" t="str">
        <f aca="false">IF(H55="Punch","Entry",IF(OR(H55="Nexon",H55="Curvv"),"Compact","Premium"))</f>
        <v>Compact</v>
      </c>
      <c r="AD55" s="19" t="str">
        <f aca="false">IF(C55="18-25","Gen Z (18-25)",IF(C55="26-35","Young professionals (26-35)",IF(C55="36-45","Family builders (36-45)",IF(C55="46-55","Pre-retirement (46-55)","Seniors (55+)"))))</f>
        <v>Young professionals (26-35)</v>
      </c>
    </row>
    <row r="56" customFormat="false" ht="15" hidden="false" customHeight="false" outlineLevel="0" collapsed="false">
      <c r="A56" s="19" t="n">
        <v>55</v>
      </c>
      <c r="B56" s="19" t="s">
        <v>149</v>
      </c>
      <c r="C56" s="19" t="s">
        <v>31</v>
      </c>
      <c r="D56" s="19" t="n">
        <v>3</v>
      </c>
      <c r="E56" s="19" t="s">
        <v>175</v>
      </c>
      <c r="F56" s="19" t="s">
        <v>41</v>
      </c>
      <c r="G56" s="19" t="n">
        <v>3</v>
      </c>
      <c r="H56" s="19" t="s">
        <v>21</v>
      </c>
      <c r="I56" s="19" t="s">
        <v>53</v>
      </c>
      <c r="J56" s="19" t="s">
        <v>58</v>
      </c>
      <c r="K56" s="19" t="s">
        <v>177</v>
      </c>
      <c r="L56" s="19" t="n">
        <v>3</v>
      </c>
      <c r="M56" s="19" t="s">
        <v>62</v>
      </c>
      <c r="N56" s="19" t="s">
        <v>153</v>
      </c>
      <c r="O56" s="19" t="s">
        <v>178</v>
      </c>
      <c r="P56" s="19" t="s">
        <v>179</v>
      </c>
      <c r="Q56" s="19" t="s">
        <v>181</v>
      </c>
      <c r="R56" s="19" t="s">
        <v>77</v>
      </c>
      <c r="S56" s="19" t="s">
        <v>70</v>
      </c>
      <c r="T56" s="19" t="s">
        <v>180</v>
      </c>
      <c r="U56" s="19" t="s">
        <v>91</v>
      </c>
      <c r="V56" s="19" t="s">
        <v>173</v>
      </c>
      <c r="W56" s="19" t="s">
        <v>174</v>
      </c>
      <c r="X56" s="19" t="s">
        <v>166</v>
      </c>
      <c r="Y56" s="19" t="s">
        <v>160</v>
      </c>
      <c r="Z56" s="19"/>
      <c r="AA56" s="19" t="s">
        <v>104</v>
      </c>
      <c r="AB56" s="19" t="s">
        <v>85</v>
      </c>
      <c r="AC56" s="19" t="str">
        <f aca="false">IF(H56="Punch","Entry",IF(OR(H56="Nexon",H56="Curvv"),"Compact","Premium"))</f>
        <v>Premium</v>
      </c>
      <c r="AD56" s="19" t="str">
        <f aca="false">IF(C56="18-25","Gen Z (18-25)",IF(C56="26-35","Young professionals (26-35)",IF(C56="36-45","Family builders (36-45)",IF(C56="46-55","Pre-retirement (46-55)","Seniors (55+)"))))</f>
        <v>Family builders (36-45)</v>
      </c>
    </row>
    <row r="57" customFormat="false" ht="15" hidden="false" customHeight="false" outlineLevel="0" collapsed="false">
      <c r="A57" s="19" t="n">
        <v>56</v>
      </c>
      <c r="B57" s="19" t="s">
        <v>161</v>
      </c>
      <c r="C57" s="19" t="s">
        <v>29</v>
      </c>
      <c r="D57" s="19" t="n">
        <v>1</v>
      </c>
      <c r="E57" s="19" t="s">
        <v>150</v>
      </c>
      <c r="F57" s="19" t="s">
        <v>42</v>
      </c>
      <c r="G57" s="19" t="n">
        <v>4</v>
      </c>
      <c r="H57" s="19" t="s">
        <v>19</v>
      </c>
      <c r="I57" s="19" t="s">
        <v>52</v>
      </c>
      <c r="J57" s="19" t="s">
        <v>151</v>
      </c>
      <c r="K57" s="19" t="s">
        <v>163</v>
      </c>
      <c r="L57" s="19" t="n">
        <v>4</v>
      </c>
      <c r="M57" s="19" t="s">
        <v>61</v>
      </c>
      <c r="N57" s="19" t="s">
        <v>153</v>
      </c>
      <c r="O57" s="19" t="s">
        <v>154</v>
      </c>
      <c r="P57" s="19" t="s">
        <v>155</v>
      </c>
      <c r="Q57" s="19" t="s">
        <v>156</v>
      </c>
      <c r="R57" s="19" t="s">
        <v>75</v>
      </c>
      <c r="S57" s="19" t="s">
        <v>70</v>
      </c>
      <c r="T57" s="19" t="s">
        <v>157</v>
      </c>
      <c r="U57" s="19" t="s">
        <v>91</v>
      </c>
      <c r="V57" s="19" t="s">
        <v>173</v>
      </c>
      <c r="W57" s="19" t="s">
        <v>174</v>
      </c>
      <c r="X57" s="19" t="s">
        <v>160</v>
      </c>
      <c r="Y57" s="19" t="s">
        <v>160</v>
      </c>
      <c r="Z57" s="19"/>
      <c r="AA57" s="19" t="s">
        <v>102</v>
      </c>
      <c r="AB57" s="19" t="s">
        <v>85</v>
      </c>
      <c r="AC57" s="19" t="str">
        <f aca="false">IF(H57="Punch","Entry",IF(OR(H57="Nexon",H57="Curvv"),"Compact","Premium"))</f>
        <v>Compact</v>
      </c>
      <c r="AD57" s="19" t="str">
        <f aca="false">IF(C57="18-25","Gen Z (18-25)",IF(C57="26-35","Young professionals (26-35)",IF(C57="36-45","Family builders (36-45)",IF(C57="46-55","Pre-retirement (46-55)","Seniors (55+)"))))</f>
        <v>Gen Z (18-25)</v>
      </c>
    </row>
    <row r="58" customFormat="false" ht="15" hidden="false" customHeight="false" outlineLevel="0" collapsed="false">
      <c r="A58" s="19" t="n">
        <v>57</v>
      </c>
      <c r="B58" s="19" t="s">
        <v>149</v>
      </c>
      <c r="C58" s="19" t="s">
        <v>32</v>
      </c>
      <c r="D58" s="19" t="n">
        <v>4</v>
      </c>
      <c r="E58" s="19" t="s">
        <v>175</v>
      </c>
      <c r="F58" s="19" t="s">
        <v>39</v>
      </c>
      <c r="G58" s="19" t="n">
        <v>1</v>
      </c>
      <c r="H58" s="19" t="s">
        <v>21</v>
      </c>
      <c r="I58" s="19" t="s">
        <v>53</v>
      </c>
      <c r="J58" s="19" t="s">
        <v>58</v>
      </c>
      <c r="K58" s="19" t="s">
        <v>152</v>
      </c>
      <c r="L58" s="19" t="n">
        <v>1</v>
      </c>
      <c r="M58" s="19" t="s">
        <v>62</v>
      </c>
      <c r="N58" s="19" t="s">
        <v>153</v>
      </c>
      <c r="O58" s="19" t="s">
        <v>178</v>
      </c>
      <c r="P58" s="19" t="s">
        <v>179</v>
      </c>
      <c r="Q58" s="19" t="s">
        <v>156</v>
      </c>
      <c r="R58" s="19" t="s">
        <v>75</v>
      </c>
      <c r="S58" s="19" t="s">
        <v>71</v>
      </c>
      <c r="T58" s="19" t="s">
        <v>157</v>
      </c>
      <c r="U58" s="19" t="s">
        <v>91</v>
      </c>
      <c r="V58" s="19" t="s">
        <v>173</v>
      </c>
      <c r="W58" s="19" t="s">
        <v>174</v>
      </c>
      <c r="X58" s="19" t="s">
        <v>166</v>
      </c>
      <c r="Y58" s="19" t="s">
        <v>160</v>
      </c>
      <c r="Z58" s="19"/>
      <c r="AA58" s="19" t="s">
        <v>104</v>
      </c>
      <c r="AB58" s="19" t="s">
        <v>85</v>
      </c>
      <c r="AC58" s="19" t="str">
        <f aca="false">IF(H58="Punch","Entry",IF(OR(H58="Nexon",H58="Curvv"),"Compact","Premium"))</f>
        <v>Premium</v>
      </c>
      <c r="AD58" s="19" t="str">
        <f aca="false">IF(C58="18-25","Gen Z (18-25)",IF(C58="26-35","Young professionals (26-35)",IF(C58="36-45","Family builders (36-45)",IF(C58="46-55","Pre-retirement (46-55)","Seniors (55+)"))))</f>
        <v>Pre-retirement (46-55)</v>
      </c>
    </row>
    <row r="59" customFormat="false" ht="15" hidden="false" customHeight="false" outlineLevel="0" collapsed="false">
      <c r="A59" s="19" t="n">
        <v>58</v>
      </c>
      <c r="B59" s="19" t="s">
        <v>161</v>
      </c>
      <c r="C59" s="19" t="s">
        <v>32</v>
      </c>
      <c r="D59" s="19" t="n">
        <v>4</v>
      </c>
      <c r="E59" s="19" t="s">
        <v>175</v>
      </c>
      <c r="F59" s="19" t="s">
        <v>39</v>
      </c>
      <c r="G59" s="19" t="n">
        <v>1</v>
      </c>
      <c r="H59" s="19" t="s">
        <v>21</v>
      </c>
      <c r="I59" s="19" t="s">
        <v>53</v>
      </c>
      <c r="J59" s="19" t="s">
        <v>151</v>
      </c>
      <c r="K59" s="19" t="s">
        <v>152</v>
      </c>
      <c r="L59" s="19" t="n">
        <v>1</v>
      </c>
      <c r="M59" s="19" t="s">
        <v>62</v>
      </c>
      <c r="N59" s="19" t="s">
        <v>153</v>
      </c>
      <c r="O59" s="19" t="s">
        <v>178</v>
      </c>
      <c r="P59" s="19" t="s">
        <v>179</v>
      </c>
      <c r="Q59" s="19" t="s">
        <v>181</v>
      </c>
      <c r="R59" s="19" t="s">
        <v>75</v>
      </c>
      <c r="S59" s="19" t="s">
        <v>69</v>
      </c>
      <c r="T59" s="19" t="s">
        <v>157</v>
      </c>
      <c r="U59" s="19" t="s">
        <v>91</v>
      </c>
      <c r="V59" s="19" t="s">
        <v>173</v>
      </c>
      <c r="W59" s="19" t="s">
        <v>174</v>
      </c>
      <c r="X59" s="19" t="s">
        <v>166</v>
      </c>
      <c r="Y59" s="19" t="s">
        <v>160</v>
      </c>
      <c r="Z59" s="19"/>
      <c r="AA59" s="19" t="s">
        <v>102</v>
      </c>
      <c r="AB59" s="19" t="s">
        <v>85</v>
      </c>
      <c r="AC59" s="19" t="str">
        <f aca="false">IF(H59="Punch","Entry",IF(OR(H59="Nexon",H59="Curvv"),"Compact","Premium"))</f>
        <v>Premium</v>
      </c>
      <c r="AD59" s="19" t="str">
        <f aca="false">IF(C59="18-25","Gen Z (18-25)",IF(C59="26-35","Young professionals (26-35)",IF(C59="36-45","Family builders (36-45)",IF(C59="46-55","Pre-retirement (46-55)","Seniors (55+)"))))</f>
        <v>Pre-retirement (46-55)</v>
      </c>
    </row>
    <row r="60" customFormat="false" ht="15" hidden="false" customHeight="false" outlineLevel="0" collapsed="false">
      <c r="A60" s="19" t="n">
        <v>59</v>
      </c>
      <c r="B60" s="19" t="s">
        <v>161</v>
      </c>
      <c r="C60" s="19" t="s">
        <v>29</v>
      </c>
      <c r="D60" s="19" t="n">
        <v>1</v>
      </c>
      <c r="E60" s="19" t="s">
        <v>150</v>
      </c>
      <c r="F60" s="19" t="s">
        <v>40</v>
      </c>
      <c r="G60" s="19" t="n">
        <v>2</v>
      </c>
      <c r="H60" s="19" t="s">
        <v>22</v>
      </c>
      <c r="I60" s="19" t="s">
        <v>54</v>
      </c>
      <c r="J60" s="19" t="s">
        <v>58</v>
      </c>
      <c r="K60" s="19" t="s">
        <v>172</v>
      </c>
      <c r="L60" s="19" t="n">
        <v>2</v>
      </c>
      <c r="M60" s="19" t="s">
        <v>61</v>
      </c>
      <c r="N60" s="19" t="s">
        <v>153</v>
      </c>
      <c r="O60" s="19" t="s">
        <v>169</v>
      </c>
      <c r="P60" s="19" t="s">
        <v>179</v>
      </c>
      <c r="Q60" s="19" t="s">
        <v>156</v>
      </c>
      <c r="R60" s="19" t="s">
        <v>77</v>
      </c>
      <c r="S60" s="19" t="s">
        <v>69</v>
      </c>
      <c r="T60" s="19" t="s">
        <v>168</v>
      </c>
      <c r="U60" s="19" t="s">
        <v>89</v>
      </c>
      <c r="V60" s="19" t="s">
        <v>164</v>
      </c>
      <c r="W60" s="19" t="s">
        <v>165</v>
      </c>
      <c r="X60" s="19" t="s">
        <v>166</v>
      </c>
      <c r="Y60" s="19" t="s">
        <v>160</v>
      </c>
      <c r="Z60" s="19"/>
      <c r="AA60" s="19" t="s">
        <v>98</v>
      </c>
      <c r="AB60" s="19" t="s">
        <v>99</v>
      </c>
      <c r="AC60" s="19" t="str">
        <f aca="false">IF(H60="Punch","Entry",IF(OR(H60="Nexon",H60="Curvv"),"Compact","Premium"))</f>
        <v>Compact</v>
      </c>
      <c r="AD60" s="19" t="str">
        <f aca="false">IF(C60="18-25","Gen Z (18-25)",IF(C60="26-35","Young professionals (26-35)",IF(C60="36-45","Family builders (36-45)",IF(C60="46-55","Pre-retirement (46-55)","Seniors (55+)"))))</f>
        <v>Gen Z (18-25)</v>
      </c>
    </row>
    <row r="61" customFormat="false" ht="15" hidden="false" customHeight="false" outlineLevel="0" collapsed="false">
      <c r="A61" s="19" t="n">
        <v>60</v>
      </c>
      <c r="B61" s="19" t="s">
        <v>149</v>
      </c>
      <c r="C61" s="19" t="s">
        <v>33</v>
      </c>
      <c r="D61" s="19" t="n">
        <v>5</v>
      </c>
      <c r="E61" s="19" t="s">
        <v>182</v>
      </c>
      <c r="F61" s="19" t="s">
        <v>41</v>
      </c>
      <c r="G61" s="19" t="n">
        <v>3</v>
      </c>
      <c r="H61" s="19" t="s">
        <v>20</v>
      </c>
      <c r="I61" s="19" t="s">
        <v>52</v>
      </c>
      <c r="J61" s="19" t="s">
        <v>151</v>
      </c>
      <c r="K61" s="19" t="s">
        <v>177</v>
      </c>
      <c r="L61" s="19" t="n">
        <v>3</v>
      </c>
      <c r="M61" s="19" t="s">
        <v>61</v>
      </c>
      <c r="N61" s="19" t="s">
        <v>153</v>
      </c>
      <c r="O61" s="19" t="s">
        <v>154</v>
      </c>
      <c r="P61" s="19" t="s">
        <v>155</v>
      </c>
      <c r="Q61" s="19" t="s">
        <v>167</v>
      </c>
      <c r="R61" s="19" t="s">
        <v>76</v>
      </c>
      <c r="S61" s="19" t="s">
        <v>69</v>
      </c>
      <c r="T61" s="19" t="s">
        <v>180</v>
      </c>
      <c r="U61" s="19" t="s">
        <v>90</v>
      </c>
      <c r="V61" s="19" t="s">
        <v>158</v>
      </c>
      <c r="W61" s="19" t="s">
        <v>159</v>
      </c>
      <c r="X61" s="19" t="s">
        <v>160</v>
      </c>
      <c r="Y61" s="19" t="s">
        <v>166</v>
      </c>
      <c r="Z61" s="19" t="s">
        <v>176</v>
      </c>
      <c r="AA61" s="19" t="s">
        <v>103</v>
      </c>
      <c r="AB61" s="19" t="s">
        <v>99</v>
      </c>
      <c r="AC61" s="19" t="str">
        <f aca="false">IF(H61="Punch","Entry",IF(OR(H61="Nexon",H61="Curvv"),"Compact","Premium"))</f>
        <v>Entry</v>
      </c>
      <c r="AD61" s="19" t="str">
        <f aca="false">IF(C61="18-25","Gen Z (18-25)",IF(C61="26-35","Young professionals (26-35)",IF(C61="36-45","Family builders (36-45)",IF(C61="46-55","Pre-retirement (46-55)","Seniors (55+)"))))</f>
        <v>Seniors (55+)</v>
      </c>
    </row>
    <row r="62" customFormat="false" ht="15" hidden="false" customHeight="false" outlineLevel="0" collapsed="false">
      <c r="A62" s="19" t="n">
        <v>61</v>
      </c>
      <c r="B62" s="19" t="s">
        <v>161</v>
      </c>
      <c r="C62" s="19" t="s">
        <v>29</v>
      </c>
      <c r="D62" s="19" t="n">
        <v>1</v>
      </c>
      <c r="E62" s="19" t="s">
        <v>150</v>
      </c>
      <c r="F62" s="19" t="s">
        <v>40</v>
      </c>
      <c r="G62" s="19" t="n">
        <v>2</v>
      </c>
      <c r="H62" s="19" t="s">
        <v>19</v>
      </c>
      <c r="I62" s="19" t="s">
        <v>52</v>
      </c>
      <c r="J62" s="19" t="s">
        <v>151</v>
      </c>
      <c r="K62" s="19" t="s">
        <v>172</v>
      </c>
      <c r="L62" s="19" t="n">
        <v>2</v>
      </c>
      <c r="M62" s="19" t="s">
        <v>61</v>
      </c>
      <c r="N62" s="19" t="s">
        <v>153</v>
      </c>
      <c r="O62" s="19" t="s">
        <v>154</v>
      </c>
      <c r="P62" s="19" t="s">
        <v>155</v>
      </c>
      <c r="Q62" s="19" t="s">
        <v>167</v>
      </c>
      <c r="R62" s="19" t="s">
        <v>76</v>
      </c>
      <c r="S62" s="19" t="s">
        <v>69</v>
      </c>
      <c r="T62" s="19" t="s">
        <v>157</v>
      </c>
      <c r="U62" s="19" t="s">
        <v>90</v>
      </c>
      <c r="V62" s="19" t="s">
        <v>158</v>
      </c>
      <c r="W62" s="19" t="s">
        <v>159</v>
      </c>
      <c r="X62" s="19" t="s">
        <v>160</v>
      </c>
      <c r="Y62" s="19" t="s">
        <v>166</v>
      </c>
      <c r="Z62" s="19" t="s">
        <v>176</v>
      </c>
      <c r="AA62" s="19" t="s">
        <v>103</v>
      </c>
      <c r="AB62" s="19" t="s">
        <v>99</v>
      </c>
      <c r="AC62" s="19" t="str">
        <f aca="false">IF(H62="Punch","Entry",IF(OR(H62="Nexon",H62="Curvv"),"Compact","Premium"))</f>
        <v>Compact</v>
      </c>
      <c r="AD62" s="19" t="str">
        <f aca="false">IF(C62="18-25","Gen Z (18-25)",IF(C62="26-35","Young professionals (26-35)",IF(C62="36-45","Family builders (36-45)",IF(C62="46-55","Pre-retirement (46-55)","Seniors (55+)"))))</f>
        <v>Gen Z (18-25)</v>
      </c>
    </row>
    <row r="63" customFormat="false" ht="15" hidden="false" customHeight="false" outlineLevel="0" collapsed="false">
      <c r="A63" s="19" t="n">
        <v>62</v>
      </c>
      <c r="B63" s="19" t="s">
        <v>161</v>
      </c>
      <c r="C63" s="19" t="s">
        <v>29</v>
      </c>
      <c r="D63" s="19" t="n">
        <v>1</v>
      </c>
      <c r="E63" s="19" t="s">
        <v>150</v>
      </c>
      <c r="F63" s="19" t="s">
        <v>39</v>
      </c>
      <c r="G63" s="19" t="n">
        <v>1</v>
      </c>
      <c r="H63" s="19" t="s">
        <v>19</v>
      </c>
      <c r="I63" s="19" t="s">
        <v>51</v>
      </c>
      <c r="J63" s="19" t="s">
        <v>151</v>
      </c>
      <c r="K63" s="19" t="s">
        <v>177</v>
      </c>
      <c r="L63" s="19" t="n">
        <v>3</v>
      </c>
      <c r="M63" s="19" t="s">
        <v>61</v>
      </c>
      <c r="N63" s="19" t="s">
        <v>153</v>
      </c>
      <c r="O63" s="19" t="s">
        <v>169</v>
      </c>
      <c r="P63" s="19" t="s">
        <v>170</v>
      </c>
      <c r="Q63" s="19" t="s">
        <v>171</v>
      </c>
      <c r="R63" s="19" t="s">
        <v>75</v>
      </c>
      <c r="S63" s="19" t="s">
        <v>69</v>
      </c>
      <c r="T63" s="19" t="s">
        <v>168</v>
      </c>
      <c r="U63" s="19" t="s">
        <v>89</v>
      </c>
      <c r="V63" s="19" t="s">
        <v>164</v>
      </c>
      <c r="W63" s="19" t="s">
        <v>165</v>
      </c>
      <c r="X63" s="19" t="s">
        <v>160</v>
      </c>
      <c r="Y63" s="19" t="s">
        <v>160</v>
      </c>
      <c r="Z63" s="19"/>
      <c r="AA63" s="19" t="s">
        <v>98</v>
      </c>
      <c r="AB63" s="19" t="s">
        <v>99</v>
      </c>
      <c r="AC63" s="19" t="str">
        <f aca="false">IF(H63="Punch","Entry",IF(OR(H63="Nexon",H63="Curvv"),"Compact","Premium"))</f>
        <v>Compact</v>
      </c>
      <c r="AD63" s="19" t="str">
        <f aca="false">IF(C63="18-25","Gen Z (18-25)",IF(C63="26-35","Young professionals (26-35)",IF(C63="36-45","Family builders (36-45)",IF(C63="46-55","Pre-retirement (46-55)","Seniors (55+)"))))</f>
        <v>Gen Z (18-25)</v>
      </c>
    </row>
    <row r="64" customFormat="false" ht="15" hidden="false" customHeight="false" outlineLevel="0" collapsed="false">
      <c r="A64" s="19" t="n">
        <v>63</v>
      </c>
      <c r="B64" s="19" t="s">
        <v>149</v>
      </c>
      <c r="C64" s="19" t="s">
        <v>33</v>
      </c>
      <c r="D64" s="19" t="n">
        <v>5</v>
      </c>
      <c r="E64" s="19" t="s">
        <v>182</v>
      </c>
      <c r="F64" s="19" t="s">
        <v>39</v>
      </c>
      <c r="G64" s="19" t="n">
        <v>1</v>
      </c>
      <c r="H64" s="19" t="s">
        <v>20</v>
      </c>
      <c r="I64" s="19" t="s">
        <v>53</v>
      </c>
      <c r="J64" s="19" t="s">
        <v>151</v>
      </c>
      <c r="K64" s="19" t="s">
        <v>152</v>
      </c>
      <c r="L64" s="19" t="n">
        <v>1</v>
      </c>
      <c r="M64" s="19" t="s">
        <v>61</v>
      </c>
      <c r="N64" s="19" t="s">
        <v>153</v>
      </c>
      <c r="O64" s="19" t="s">
        <v>154</v>
      </c>
      <c r="P64" s="19" t="s">
        <v>155</v>
      </c>
      <c r="Q64" s="19" t="s">
        <v>156</v>
      </c>
      <c r="R64" s="19" t="s">
        <v>75</v>
      </c>
      <c r="S64" s="19" t="s">
        <v>69</v>
      </c>
      <c r="T64" s="19" t="s">
        <v>180</v>
      </c>
      <c r="U64" s="19" t="s">
        <v>89</v>
      </c>
      <c r="V64" s="19" t="s">
        <v>164</v>
      </c>
      <c r="W64" s="19" t="s">
        <v>165</v>
      </c>
      <c r="X64" s="19" t="s">
        <v>160</v>
      </c>
      <c r="Y64" s="19" t="s">
        <v>160</v>
      </c>
      <c r="Z64" s="19"/>
      <c r="AA64" s="19" t="s">
        <v>98</v>
      </c>
      <c r="AB64" s="19" t="s">
        <v>99</v>
      </c>
      <c r="AC64" s="19" t="str">
        <f aca="false">IF(H64="Punch","Entry",IF(OR(H64="Nexon",H64="Curvv"),"Compact","Premium"))</f>
        <v>Entry</v>
      </c>
      <c r="AD64" s="19" t="str">
        <f aca="false">IF(C64="18-25","Gen Z (18-25)",IF(C64="26-35","Young professionals (26-35)",IF(C64="36-45","Family builders (36-45)",IF(C64="46-55","Pre-retirement (46-55)","Seniors (55+)"))))</f>
        <v>Seniors (55+)</v>
      </c>
    </row>
    <row r="65" customFormat="false" ht="15" hidden="false" customHeight="false" outlineLevel="0" collapsed="false">
      <c r="A65" s="19" t="n">
        <v>64</v>
      </c>
      <c r="B65" s="19" t="s">
        <v>161</v>
      </c>
      <c r="C65" s="19" t="s">
        <v>30</v>
      </c>
      <c r="D65" s="19" t="n">
        <v>2</v>
      </c>
      <c r="E65" s="19" t="s">
        <v>150</v>
      </c>
      <c r="F65" s="19" t="s">
        <v>42</v>
      </c>
      <c r="G65" s="19" t="n">
        <v>4</v>
      </c>
      <c r="H65" s="19" t="s">
        <v>24</v>
      </c>
      <c r="I65" s="19" t="s">
        <v>51</v>
      </c>
      <c r="J65" s="19" t="s">
        <v>58</v>
      </c>
      <c r="K65" s="19" t="s">
        <v>163</v>
      </c>
      <c r="L65" s="19" t="n">
        <v>4</v>
      </c>
      <c r="M65" s="19" t="s">
        <v>62</v>
      </c>
      <c r="N65" s="19" t="s">
        <v>153</v>
      </c>
      <c r="O65" s="19" t="s">
        <v>169</v>
      </c>
      <c r="P65" s="19" t="s">
        <v>170</v>
      </c>
      <c r="Q65" s="19" t="s">
        <v>171</v>
      </c>
      <c r="R65" s="19" t="s">
        <v>75</v>
      </c>
      <c r="S65" s="19" t="s">
        <v>69</v>
      </c>
      <c r="T65" s="19" t="s">
        <v>168</v>
      </c>
      <c r="U65" s="19" t="s">
        <v>90</v>
      </c>
      <c r="V65" s="19" t="s">
        <v>158</v>
      </c>
      <c r="W65" s="19" t="s">
        <v>159</v>
      </c>
      <c r="X65" s="19" t="s">
        <v>166</v>
      </c>
      <c r="Y65" s="19" t="s">
        <v>166</v>
      </c>
      <c r="Z65" s="19" t="s">
        <v>176</v>
      </c>
      <c r="AA65" s="19" t="s">
        <v>97</v>
      </c>
      <c r="AB65" s="19" t="s">
        <v>85</v>
      </c>
      <c r="AC65" s="19" t="str">
        <f aca="false">IF(H65="Punch","Entry",IF(OR(H65="Nexon",H65="Curvv"),"Compact","Premium"))</f>
        <v>Premium</v>
      </c>
      <c r="AD65" s="19" t="str">
        <f aca="false">IF(C65="18-25","Gen Z (18-25)",IF(C65="26-35","Young professionals (26-35)",IF(C65="36-45","Family builders (36-45)",IF(C65="46-55","Pre-retirement (46-55)","Seniors (55+)"))))</f>
        <v>Young professionals (26-35)</v>
      </c>
    </row>
    <row r="66" customFormat="false" ht="15" hidden="false" customHeight="false" outlineLevel="0" collapsed="false">
      <c r="A66" s="19" t="n">
        <v>65</v>
      </c>
      <c r="B66" s="19" t="s">
        <v>161</v>
      </c>
      <c r="C66" s="19" t="s">
        <v>32</v>
      </c>
      <c r="D66" s="19" t="n">
        <v>4</v>
      </c>
      <c r="E66" s="19" t="s">
        <v>162</v>
      </c>
      <c r="F66" s="19" t="s">
        <v>42</v>
      </c>
      <c r="G66" s="19" t="n">
        <v>4</v>
      </c>
      <c r="H66" s="19" t="s">
        <v>23</v>
      </c>
      <c r="I66" s="19" t="s">
        <v>52</v>
      </c>
      <c r="J66" s="19" t="s">
        <v>58</v>
      </c>
      <c r="K66" s="19" t="s">
        <v>163</v>
      </c>
      <c r="L66" s="19" t="n">
        <v>4</v>
      </c>
      <c r="M66" s="19" t="s">
        <v>62</v>
      </c>
      <c r="N66" s="19" t="s">
        <v>153</v>
      </c>
      <c r="O66" s="19" t="s">
        <v>178</v>
      </c>
      <c r="P66" s="19" t="s">
        <v>179</v>
      </c>
      <c r="Q66" s="19" t="s">
        <v>181</v>
      </c>
      <c r="R66" s="19" t="s">
        <v>75</v>
      </c>
      <c r="S66" s="19" t="s">
        <v>69</v>
      </c>
      <c r="T66" s="19" t="s">
        <v>157</v>
      </c>
      <c r="U66" s="19" t="s">
        <v>89</v>
      </c>
      <c r="V66" s="19" t="s">
        <v>164</v>
      </c>
      <c r="W66" s="19" t="s">
        <v>165</v>
      </c>
      <c r="X66" s="19" t="s">
        <v>166</v>
      </c>
      <c r="Y66" s="19" t="s">
        <v>160</v>
      </c>
      <c r="Z66" s="19"/>
      <c r="AA66" s="19" t="s">
        <v>98</v>
      </c>
      <c r="AB66" s="19" t="s">
        <v>99</v>
      </c>
      <c r="AC66" s="19" t="str">
        <f aca="false">IF(H66="Punch","Entry",IF(OR(H66="Nexon",H66="Curvv"),"Compact","Premium"))</f>
        <v>Premium</v>
      </c>
      <c r="AD66" s="19" t="str">
        <f aca="false">IF(C66="18-25","Gen Z (18-25)",IF(C66="26-35","Young professionals (26-35)",IF(C66="36-45","Family builders (36-45)",IF(C66="46-55","Pre-retirement (46-55)","Seniors (55+)"))))</f>
        <v>Pre-retirement (46-55)</v>
      </c>
    </row>
    <row r="67" customFormat="false" ht="15" hidden="false" customHeight="false" outlineLevel="0" collapsed="false">
      <c r="A67" s="19" t="n">
        <v>66</v>
      </c>
      <c r="B67" s="19" t="s">
        <v>161</v>
      </c>
      <c r="C67" s="19" t="s">
        <v>32</v>
      </c>
      <c r="D67" s="19" t="n">
        <v>4</v>
      </c>
      <c r="E67" s="19" t="s">
        <v>175</v>
      </c>
      <c r="F67" s="19" t="s">
        <v>40</v>
      </c>
      <c r="G67" s="19" t="n">
        <v>2</v>
      </c>
      <c r="H67" s="19" t="s">
        <v>22</v>
      </c>
      <c r="I67" s="19" t="s">
        <v>51</v>
      </c>
      <c r="J67" s="19" t="s">
        <v>58</v>
      </c>
      <c r="K67" s="19" t="s">
        <v>172</v>
      </c>
      <c r="L67" s="19" t="n">
        <v>2</v>
      </c>
      <c r="M67" s="19" t="s">
        <v>61</v>
      </c>
      <c r="N67" s="19" t="s">
        <v>153</v>
      </c>
      <c r="O67" s="19" t="s">
        <v>169</v>
      </c>
      <c r="P67" s="19" t="s">
        <v>170</v>
      </c>
      <c r="Q67" s="19" t="s">
        <v>171</v>
      </c>
      <c r="R67" s="19" t="s">
        <v>75</v>
      </c>
      <c r="S67" s="19" t="s">
        <v>69</v>
      </c>
      <c r="T67" s="19" t="s">
        <v>180</v>
      </c>
      <c r="U67" s="19" t="s">
        <v>90</v>
      </c>
      <c r="V67" s="19" t="s">
        <v>158</v>
      </c>
      <c r="W67" s="19" t="s">
        <v>159</v>
      </c>
      <c r="X67" s="19" t="s">
        <v>166</v>
      </c>
      <c r="Y67" s="19" t="s">
        <v>166</v>
      </c>
      <c r="Z67" s="19" t="s">
        <v>176</v>
      </c>
      <c r="AA67" s="19" t="s">
        <v>97</v>
      </c>
      <c r="AB67" s="19" t="s">
        <v>85</v>
      </c>
      <c r="AC67" s="19" t="str">
        <f aca="false">IF(H67="Punch","Entry",IF(OR(H67="Nexon",H67="Curvv"),"Compact","Premium"))</f>
        <v>Compact</v>
      </c>
      <c r="AD67" s="19" t="str">
        <f aca="false">IF(C67="18-25","Gen Z (18-25)",IF(C67="26-35","Young professionals (26-35)",IF(C67="36-45","Family builders (36-45)",IF(C67="46-55","Pre-retirement (46-55)","Seniors (55+)"))))</f>
        <v>Pre-retirement (46-55)</v>
      </c>
    </row>
    <row r="68" customFormat="false" ht="15" hidden="false" customHeight="false" outlineLevel="0" collapsed="false">
      <c r="A68" s="19" t="n">
        <v>67</v>
      </c>
      <c r="B68" s="19" t="s">
        <v>161</v>
      </c>
      <c r="C68" s="19" t="s">
        <v>30</v>
      </c>
      <c r="D68" s="19" t="n">
        <v>2</v>
      </c>
      <c r="E68" s="19" t="s">
        <v>150</v>
      </c>
      <c r="F68" s="19" t="s">
        <v>40</v>
      </c>
      <c r="G68" s="19" t="n">
        <v>2</v>
      </c>
      <c r="H68" s="19" t="s">
        <v>22</v>
      </c>
      <c r="I68" s="19" t="s">
        <v>54</v>
      </c>
      <c r="J68" s="19" t="s">
        <v>151</v>
      </c>
      <c r="K68" s="19" t="s">
        <v>172</v>
      </c>
      <c r="L68" s="19" t="n">
        <v>2</v>
      </c>
      <c r="M68" s="19" t="s">
        <v>61</v>
      </c>
      <c r="N68" s="19" t="s">
        <v>153</v>
      </c>
      <c r="O68" s="19" t="s">
        <v>169</v>
      </c>
      <c r="P68" s="19" t="s">
        <v>179</v>
      </c>
      <c r="Q68" s="19" t="s">
        <v>156</v>
      </c>
      <c r="R68" s="19" t="s">
        <v>76</v>
      </c>
      <c r="S68" s="19" t="s">
        <v>69</v>
      </c>
      <c r="T68" s="19" t="s">
        <v>157</v>
      </c>
      <c r="U68" s="19" t="s">
        <v>89</v>
      </c>
      <c r="V68" s="19" t="s">
        <v>164</v>
      </c>
      <c r="W68" s="19" t="s">
        <v>165</v>
      </c>
      <c r="X68" s="19" t="s">
        <v>166</v>
      </c>
      <c r="Y68" s="19" t="s">
        <v>160</v>
      </c>
      <c r="Z68" s="19"/>
      <c r="AA68" s="19" t="s">
        <v>100</v>
      </c>
      <c r="AB68" s="19" t="s">
        <v>101</v>
      </c>
      <c r="AC68" s="19" t="str">
        <f aca="false">IF(H68="Punch","Entry",IF(OR(H68="Nexon",H68="Curvv"),"Compact","Premium"))</f>
        <v>Compact</v>
      </c>
      <c r="AD68" s="19" t="str">
        <f aca="false">IF(C68="18-25","Gen Z (18-25)",IF(C68="26-35","Young professionals (26-35)",IF(C68="36-45","Family builders (36-45)",IF(C68="46-55","Pre-retirement (46-55)","Seniors (55+)"))))</f>
        <v>Young professionals (26-35)</v>
      </c>
    </row>
    <row r="69" customFormat="false" ht="15" hidden="false" customHeight="false" outlineLevel="0" collapsed="false">
      <c r="A69" s="19" t="n">
        <v>68</v>
      </c>
      <c r="B69" s="19" t="s">
        <v>149</v>
      </c>
      <c r="C69" s="19" t="s">
        <v>30</v>
      </c>
      <c r="D69" s="19" t="n">
        <v>2</v>
      </c>
      <c r="E69" s="19" t="s">
        <v>150</v>
      </c>
      <c r="F69" s="19" t="s">
        <v>40</v>
      </c>
      <c r="G69" s="19" t="n">
        <v>2</v>
      </c>
      <c r="H69" s="19" t="s">
        <v>19</v>
      </c>
      <c r="I69" s="19" t="s">
        <v>51</v>
      </c>
      <c r="J69" s="19" t="s">
        <v>58</v>
      </c>
      <c r="K69" s="19" t="s">
        <v>177</v>
      </c>
      <c r="L69" s="19" t="n">
        <v>3</v>
      </c>
      <c r="M69" s="19" t="s">
        <v>61</v>
      </c>
      <c r="N69" s="19" t="s">
        <v>153</v>
      </c>
      <c r="O69" s="19" t="s">
        <v>169</v>
      </c>
      <c r="P69" s="19" t="s">
        <v>170</v>
      </c>
      <c r="Q69" s="19" t="s">
        <v>171</v>
      </c>
      <c r="R69" s="19" t="s">
        <v>75</v>
      </c>
      <c r="S69" s="19" t="s">
        <v>69</v>
      </c>
      <c r="T69" s="19" t="s">
        <v>168</v>
      </c>
      <c r="U69" s="19" t="s">
        <v>91</v>
      </c>
      <c r="V69" s="19" t="s">
        <v>173</v>
      </c>
      <c r="W69" s="19" t="s">
        <v>174</v>
      </c>
      <c r="X69" s="19" t="s">
        <v>160</v>
      </c>
      <c r="Y69" s="19" t="s">
        <v>160</v>
      </c>
      <c r="Z69" s="19"/>
      <c r="AA69" s="19" t="s">
        <v>104</v>
      </c>
      <c r="AB69" s="19" t="s">
        <v>85</v>
      </c>
      <c r="AC69" s="19" t="str">
        <f aca="false">IF(H69="Punch","Entry",IF(OR(H69="Nexon",H69="Curvv"),"Compact","Premium"))</f>
        <v>Compact</v>
      </c>
      <c r="AD69" s="19" t="str">
        <f aca="false">IF(C69="18-25","Gen Z (18-25)",IF(C69="26-35","Young professionals (26-35)",IF(C69="36-45","Family builders (36-45)",IF(C69="46-55","Pre-retirement (46-55)","Seniors (55+)"))))</f>
        <v>Young professionals (26-35)</v>
      </c>
    </row>
    <row r="70" customFormat="false" ht="15" hidden="false" customHeight="false" outlineLevel="0" collapsed="false">
      <c r="A70" s="19" t="n">
        <v>69</v>
      </c>
      <c r="B70" s="19" t="s">
        <v>149</v>
      </c>
      <c r="C70" s="19" t="s">
        <v>29</v>
      </c>
      <c r="D70" s="19" t="n">
        <v>1</v>
      </c>
      <c r="E70" s="19" t="s">
        <v>150</v>
      </c>
      <c r="F70" s="19" t="s">
        <v>42</v>
      </c>
      <c r="G70" s="19" t="n">
        <v>4</v>
      </c>
      <c r="H70" s="19" t="s">
        <v>20</v>
      </c>
      <c r="I70" s="19" t="s">
        <v>52</v>
      </c>
      <c r="J70" s="19" t="s">
        <v>151</v>
      </c>
      <c r="K70" s="19" t="s">
        <v>163</v>
      </c>
      <c r="L70" s="19" t="n">
        <v>4</v>
      </c>
      <c r="M70" s="19" t="s">
        <v>61</v>
      </c>
      <c r="N70" s="19" t="s">
        <v>153</v>
      </c>
      <c r="O70" s="19" t="s">
        <v>154</v>
      </c>
      <c r="P70" s="19" t="s">
        <v>155</v>
      </c>
      <c r="Q70" s="19" t="s">
        <v>167</v>
      </c>
      <c r="R70" s="19" t="s">
        <v>77</v>
      </c>
      <c r="S70" s="19" t="s">
        <v>69</v>
      </c>
      <c r="T70" s="19" t="s">
        <v>168</v>
      </c>
      <c r="U70" s="19" t="s">
        <v>90</v>
      </c>
      <c r="V70" s="19" t="s">
        <v>158</v>
      </c>
      <c r="W70" s="19" t="s">
        <v>159</v>
      </c>
      <c r="X70" s="19" t="s">
        <v>160</v>
      </c>
      <c r="Y70" s="19" t="s">
        <v>166</v>
      </c>
      <c r="Z70" s="19" t="s">
        <v>176</v>
      </c>
      <c r="AA70" s="19" t="s">
        <v>103</v>
      </c>
      <c r="AB70" s="19" t="s">
        <v>99</v>
      </c>
      <c r="AC70" s="19" t="str">
        <f aca="false">IF(H70="Punch","Entry",IF(OR(H70="Nexon",H70="Curvv"),"Compact","Premium"))</f>
        <v>Entry</v>
      </c>
      <c r="AD70" s="19" t="str">
        <f aca="false">IF(C70="18-25","Gen Z (18-25)",IF(C70="26-35","Young professionals (26-35)",IF(C70="36-45","Family builders (36-45)",IF(C70="46-55","Pre-retirement (46-55)","Seniors (55+)"))))</f>
        <v>Gen Z (18-25)</v>
      </c>
    </row>
    <row r="71" customFormat="false" ht="15" hidden="false" customHeight="false" outlineLevel="0" collapsed="false">
      <c r="A71" s="19" t="n">
        <v>70</v>
      </c>
      <c r="B71" s="19" t="s">
        <v>161</v>
      </c>
      <c r="C71" s="19" t="s">
        <v>30</v>
      </c>
      <c r="D71" s="19" t="n">
        <v>2</v>
      </c>
      <c r="E71" s="19" t="s">
        <v>150</v>
      </c>
      <c r="F71" s="19" t="s">
        <v>40</v>
      </c>
      <c r="G71" s="19" t="n">
        <v>2</v>
      </c>
      <c r="H71" s="19" t="s">
        <v>24</v>
      </c>
      <c r="I71" s="19" t="s">
        <v>52</v>
      </c>
      <c r="J71" s="19" t="s">
        <v>58</v>
      </c>
      <c r="K71" s="19" t="s">
        <v>172</v>
      </c>
      <c r="L71" s="19" t="n">
        <v>2</v>
      </c>
      <c r="M71" s="19" t="s">
        <v>62</v>
      </c>
      <c r="N71" s="19" t="s">
        <v>153</v>
      </c>
      <c r="O71" s="19" t="s">
        <v>154</v>
      </c>
      <c r="P71" s="19" t="s">
        <v>155</v>
      </c>
      <c r="Q71" s="19" t="s">
        <v>167</v>
      </c>
      <c r="R71" s="19" t="s">
        <v>77</v>
      </c>
      <c r="S71" s="19" t="s">
        <v>69</v>
      </c>
      <c r="T71" s="19" t="s">
        <v>157</v>
      </c>
      <c r="U71" s="19" t="s">
        <v>89</v>
      </c>
      <c r="V71" s="19" t="s">
        <v>164</v>
      </c>
      <c r="W71" s="19" t="s">
        <v>165</v>
      </c>
      <c r="X71" s="19" t="s">
        <v>166</v>
      </c>
      <c r="Y71" s="19" t="s">
        <v>160</v>
      </c>
      <c r="Z71" s="19"/>
      <c r="AA71" s="19" t="s">
        <v>100</v>
      </c>
      <c r="AB71" s="19" t="s">
        <v>101</v>
      </c>
      <c r="AC71" s="19" t="str">
        <f aca="false">IF(H71="Punch","Entry",IF(OR(H71="Nexon",H71="Curvv"),"Compact","Premium"))</f>
        <v>Premium</v>
      </c>
      <c r="AD71" s="19" t="str">
        <f aca="false">IF(C71="18-25","Gen Z (18-25)",IF(C71="26-35","Young professionals (26-35)",IF(C71="36-45","Family builders (36-45)",IF(C71="46-55","Pre-retirement (46-55)","Seniors (55+)"))))</f>
        <v>Young professionals (26-35)</v>
      </c>
    </row>
    <row r="72" customFormat="false" ht="15" hidden="false" customHeight="false" outlineLevel="0" collapsed="false">
      <c r="A72" s="19" t="n">
        <v>71</v>
      </c>
      <c r="B72" s="19" t="s">
        <v>161</v>
      </c>
      <c r="C72" s="19" t="s">
        <v>31</v>
      </c>
      <c r="D72" s="19" t="n">
        <v>3</v>
      </c>
      <c r="E72" s="19" t="s">
        <v>175</v>
      </c>
      <c r="F72" s="19" t="s">
        <v>40</v>
      </c>
      <c r="G72" s="19" t="n">
        <v>2</v>
      </c>
      <c r="H72" s="19" t="s">
        <v>20</v>
      </c>
      <c r="I72" s="19" t="s">
        <v>54</v>
      </c>
      <c r="J72" s="19" t="s">
        <v>151</v>
      </c>
      <c r="K72" s="19" t="s">
        <v>172</v>
      </c>
      <c r="L72" s="19" t="n">
        <v>2</v>
      </c>
      <c r="M72" s="19" t="s">
        <v>61</v>
      </c>
      <c r="N72" s="19" t="s">
        <v>153</v>
      </c>
      <c r="O72" s="19" t="s">
        <v>154</v>
      </c>
      <c r="P72" s="19" t="s">
        <v>155</v>
      </c>
      <c r="Q72" s="19" t="s">
        <v>156</v>
      </c>
      <c r="R72" s="19" t="s">
        <v>76</v>
      </c>
      <c r="S72" s="19" t="s">
        <v>69</v>
      </c>
      <c r="T72" s="19" t="s">
        <v>157</v>
      </c>
      <c r="U72" s="19" t="s">
        <v>91</v>
      </c>
      <c r="V72" s="19" t="s">
        <v>173</v>
      </c>
      <c r="W72" s="19" t="s">
        <v>174</v>
      </c>
      <c r="X72" s="19" t="s">
        <v>160</v>
      </c>
      <c r="Y72" s="19" t="s">
        <v>160</v>
      </c>
      <c r="Z72" s="19"/>
      <c r="AA72" s="19" t="s">
        <v>102</v>
      </c>
      <c r="AB72" s="19" t="s">
        <v>85</v>
      </c>
      <c r="AC72" s="19" t="str">
        <f aca="false">IF(H72="Punch","Entry",IF(OR(H72="Nexon",H72="Curvv"),"Compact","Premium"))</f>
        <v>Entry</v>
      </c>
      <c r="AD72" s="19" t="str">
        <f aca="false">IF(C72="18-25","Gen Z (18-25)",IF(C72="26-35","Young professionals (26-35)",IF(C72="36-45","Family builders (36-45)",IF(C72="46-55","Pre-retirement (46-55)","Seniors (55+)"))))</f>
        <v>Family builders (36-45)</v>
      </c>
    </row>
    <row r="73" customFormat="false" ht="15" hidden="false" customHeight="false" outlineLevel="0" collapsed="false">
      <c r="A73" s="19" t="n">
        <v>72</v>
      </c>
      <c r="B73" s="19" t="s">
        <v>161</v>
      </c>
      <c r="C73" s="19" t="s">
        <v>30</v>
      </c>
      <c r="D73" s="19" t="n">
        <v>2</v>
      </c>
      <c r="E73" s="19" t="s">
        <v>150</v>
      </c>
      <c r="F73" s="19" t="s">
        <v>41</v>
      </c>
      <c r="G73" s="19" t="n">
        <v>3</v>
      </c>
      <c r="H73" s="19" t="s">
        <v>22</v>
      </c>
      <c r="I73" s="19" t="s">
        <v>52</v>
      </c>
      <c r="J73" s="19" t="s">
        <v>58</v>
      </c>
      <c r="K73" s="19" t="s">
        <v>177</v>
      </c>
      <c r="L73" s="19" t="n">
        <v>3</v>
      </c>
      <c r="M73" s="19" t="s">
        <v>61</v>
      </c>
      <c r="N73" s="19" t="s">
        <v>153</v>
      </c>
      <c r="O73" s="19" t="s">
        <v>169</v>
      </c>
      <c r="P73" s="19" t="s">
        <v>179</v>
      </c>
      <c r="Q73" s="19" t="s">
        <v>156</v>
      </c>
      <c r="R73" s="19" t="s">
        <v>77</v>
      </c>
      <c r="S73" s="19" t="s">
        <v>69</v>
      </c>
      <c r="T73" s="19" t="s">
        <v>168</v>
      </c>
      <c r="U73" s="19" t="s">
        <v>90</v>
      </c>
      <c r="V73" s="19" t="s">
        <v>158</v>
      </c>
      <c r="W73" s="19" t="s">
        <v>159</v>
      </c>
      <c r="X73" s="19" t="s">
        <v>166</v>
      </c>
      <c r="Y73" s="19" t="s">
        <v>166</v>
      </c>
      <c r="Z73" s="19" t="s">
        <v>176</v>
      </c>
      <c r="AA73" s="19" t="s">
        <v>97</v>
      </c>
      <c r="AB73" s="19" t="s">
        <v>85</v>
      </c>
      <c r="AC73" s="19" t="str">
        <f aca="false">IF(H73="Punch","Entry",IF(OR(H73="Nexon",H73="Curvv"),"Compact","Premium"))</f>
        <v>Compact</v>
      </c>
      <c r="AD73" s="19" t="str">
        <f aca="false">IF(C73="18-25","Gen Z (18-25)",IF(C73="26-35","Young professionals (26-35)",IF(C73="36-45","Family builders (36-45)",IF(C73="46-55","Pre-retirement (46-55)","Seniors (55+)"))))</f>
        <v>Young professionals (26-35)</v>
      </c>
    </row>
    <row r="74" customFormat="false" ht="15" hidden="false" customHeight="false" outlineLevel="0" collapsed="false">
      <c r="A74" s="19" t="n">
        <v>73</v>
      </c>
      <c r="B74" s="19" t="s">
        <v>161</v>
      </c>
      <c r="C74" s="19" t="s">
        <v>29</v>
      </c>
      <c r="D74" s="19" t="n">
        <v>1</v>
      </c>
      <c r="E74" s="19" t="s">
        <v>150</v>
      </c>
      <c r="F74" s="19" t="s">
        <v>40</v>
      </c>
      <c r="G74" s="19" t="n">
        <v>2</v>
      </c>
      <c r="H74" s="19" t="s">
        <v>22</v>
      </c>
      <c r="I74" s="19" t="s">
        <v>52</v>
      </c>
      <c r="J74" s="19" t="s">
        <v>58</v>
      </c>
      <c r="K74" s="19" t="s">
        <v>172</v>
      </c>
      <c r="L74" s="19" t="n">
        <v>2</v>
      </c>
      <c r="M74" s="19" t="s">
        <v>61</v>
      </c>
      <c r="N74" s="19" t="s">
        <v>153</v>
      </c>
      <c r="O74" s="19" t="s">
        <v>169</v>
      </c>
      <c r="P74" s="19" t="s">
        <v>179</v>
      </c>
      <c r="Q74" s="19" t="s">
        <v>156</v>
      </c>
      <c r="R74" s="19" t="s">
        <v>75</v>
      </c>
      <c r="S74" s="19" t="s">
        <v>69</v>
      </c>
      <c r="T74" s="19" t="s">
        <v>157</v>
      </c>
      <c r="U74" s="19" t="s">
        <v>91</v>
      </c>
      <c r="V74" s="19" t="s">
        <v>173</v>
      </c>
      <c r="W74" s="19" t="s">
        <v>174</v>
      </c>
      <c r="X74" s="19" t="s">
        <v>166</v>
      </c>
      <c r="Y74" s="19" t="s">
        <v>160</v>
      </c>
      <c r="Z74" s="19"/>
      <c r="AA74" s="19" t="s">
        <v>104</v>
      </c>
      <c r="AB74" s="19" t="s">
        <v>85</v>
      </c>
      <c r="AC74" s="19" t="str">
        <f aca="false">IF(H74="Punch","Entry",IF(OR(H74="Nexon",H74="Curvv"),"Compact","Premium"))</f>
        <v>Compact</v>
      </c>
      <c r="AD74" s="19" t="str">
        <f aca="false">IF(C74="18-25","Gen Z (18-25)",IF(C74="26-35","Young professionals (26-35)",IF(C74="36-45","Family builders (36-45)",IF(C74="46-55","Pre-retirement (46-55)","Seniors (55+)"))))</f>
        <v>Gen Z (18-25)</v>
      </c>
    </row>
    <row r="75" customFormat="false" ht="15" hidden="false" customHeight="false" outlineLevel="0" collapsed="false">
      <c r="A75" s="19" t="n">
        <v>74</v>
      </c>
      <c r="B75" s="19" t="s">
        <v>149</v>
      </c>
      <c r="C75" s="19" t="s">
        <v>33</v>
      </c>
      <c r="D75" s="19" t="n">
        <v>5</v>
      </c>
      <c r="E75" s="19" t="s">
        <v>182</v>
      </c>
      <c r="F75" s="19" t="s">
        <v>40</v>
      </c>
      <c r="G75" s="19" t="n">
        <v>2</v>
      </c>
      <c r="H75" s="19" t="s">
        <v>19</v>
      </c>
      <c r="I75" s="19" t="s">
        <v>51</v>
      </c>
      <c r="J75" s="19" t="s">
        <v>151</v>
      </c>
      <c r="K75" s="19" t="s">
        <v>177</v>
      </c>
      <c r="L75" s="19" t="n">
        <v>3</v>
      </c>
      <c r="M75" s="19" t="s">
        <v>61</v>
      </c>
      <c r="N75" s="19" t="s">
        <v>153</v>
      </c>
      <c r="O75" s="19" t="s">
        <v>169</v>
      </c>
      <c r="P75" s="19" t="s">
        <v>170</v>
      </c>
      <c r="Q75" s="19" t="s">
        <v>171</v>
      </c>
      <c r="R75" s="19" t="s">
        <v>75</v>
      </c>
      <c r="S75" s="19" t="s">
        <v>69</v>
      </c>
      <c r="T75" s="19" t="s">
        <v>180</v>
      </c>
      <c r="U75" s="19" t="s">
        <v>91</v>
      </c>
      <c r="V75" s="19" t="s">
        <v>173</v>
      </c>
      <c r="W75" s="19" t="s">
        <v>174</v>
      </c>
      <c r="X75" s="19" t="s">
        <v>160</v>
      </c>
      <c r="Y75" s="19" t="s">
        <v>160</v>
      </c>
      <c r="Z75" s="19"/>
      <c r="AA75" s="19" t="s">
        <v>104</v>
      </c>
      <c r="AB75" s="19" t="s">
        <v>85</v>
      </c>
      <c r="AC75" s="19" t="str">
        <f aca="false">IF(H75="Punch","Entry",IF(OR(H75="Nexon",H75="Curvv"),"Compact","Premium"))</f>
        <v>Compact</v>
      </c>
      <c r="AD75" s="19" t="str">
        <f aca="false">IF(C75="18-25","Gen Z (18-25)",IF(C75="26-35","Young professionals (26-35)",IF(C75="36-45","Family builders (36-45)",IF(C75="46-55","Pre-retirement (46-55)","Seniors (55+)"))))</f>
        <v>Seniors (55+)</v>
      </c>
    </row>
    <row r="76" customFormat="false" ht="15" hidden="false" customHeight="false" outlineLevel="0" collapsed="false">
      <c r="A76" s="19" t="n">
        <v>75</v>
      </c>
      <c r="B76" s="19" t="s">
        <v>161</v>
      </c>
      <c r="C76" s="19" t="s">
        <v>30</v>
      </c>
      <c r="D76" s="19" t="n">
        <v>2</v>
      </c>
      <c r="E76" s="19" t="s">
        <v>150</v>
      </c>
      <c r="F76" s="19" t="s">
        <v>42</v>
      </c>
      <c r="G76" s="19" t="n">
        <v>4</v>
      </c>
      <c r="H76" s="19" t="s">
        <v>23</v>
      </c>
      <c r="I76" s="19" t="s">
        <v>51</v>
      </c>
      <c r="J76" s="19" t="s">
        <v>58</v>
      </c>
      <c r="K76" s="19" t="s">
        <v>163</v>
      </c>
      <c r="L76" s="19" t="n">
        <v>4</v>
      </c>
      <c r="M76" s="19" t="s">
        <v>62</v>
      </c>
      <c r="N76" s="19" t="s">
        <v>153</v>
      </c>
      <c r="O76" s="19" t="s">
        <v>169</v>
      </c>
      <c r="P76" s="19" t="s">
        <v>170</v>
      </c>
      <c r="Q76" s="19" t="s">
        <v>171</v>
      </c>
      <c r="R76" s="19" t="s">
        <v>75</v>
      </c>
      <c r="S76" s="19" t="s">
        <v>69</v>
      </c>
      <c r="T76" s="19" t="s">
        <v>168</v>
      </c>
      <c r="U76" s="19" t="s">
        <v>90</v>
      </c>
      <c r="V76" s="19" t="s">
        <v>158</v>
      </c>
      <c r="W76" s="19" t="s">
        <v>159</v>
      </c>
      <c r="X76" s="19" t="s">
        <v>166</v>
      </c>
      <c r="Y76" s="19" t="s">
        <v>160</v>
      </c>
      <c r="Z76" s="19"/>
      <c r="AA76" s="19" t="s">
        <v>103</v>
      </c>
      <c r="AB76" s="19" t="s">
        <v>99</v>
      </c>
      <c r="AC76" s="19" t="str">
        <f aca="false">IF(H76="Punch","Entry",IF(OR(H76="Nexon",H76="Curvv"),"Compact","Premium"))</f>
        <v>Premium</v>
      </c>
      <c r="AD76" s="19" t="str">
        <f aca="false">IF(C76="18-25","Gen Z (18-25)",IF(C76="26-35","Young professionals (26-35)",IF(C76="36-45","Family builders (36-45)",IF(C76="46-55","Pre-retirement (46-55)","Seniors (55+)"))))</f>
        <v>Young professionals (26-35)</v>
      </c>
    </row>
    <row r="77" customFormat="false" ht="15" hidden="false" customHeight="false" outlineLevel="0" collapsed="false">
      <c r="A77" s="19" t="n">
        <v>76</v>
      </c>
      <c r="B77" s="19" t="s">
        <v>161</v>
      </c>
      <c r="C77" s="19" t="s">
        <v>30</v>
      </c>
      <c r="D77" s="19" t="n">
        <v>2</v>
      </c>
      <c r="E77" s="19" t="s">
        <v>150</v>
      </c>
      <c r="F77" s="19" t="s">
        <v>41</v>
      </c>
      <c r="G77" s="19" t="n">
        <v>3</v>
      </c>
      <c r="H77" s="19" t="s">
        <v>24</v>
      </c>
      <c r="I77" s="19" t="s">
        <v>52</v>
      </c>
      <c r="J77" s="19" t="s">
        <v>58</v>
      </c>
      <c r="K77" s="19" t="s">
        <v>177</v>
      </c>
      <c r="L77" s="19" t="n">
        <v>3</v>
      </c>
      <c r="M77" s="19" t="s">
        <v>62</v>
      </c>
      <c r="N77" s="19" t="s">
        <v>153</v>
      </c>
      <c r="O77" s="19" t="s">
        <v>154</v>
      </c>
      <c r="P77" s="19" t="s">
        <v>155</v>
      </c>
      <c r="Q77" s="19" t="s">
        <v>167</v>
      </c>
      <c r="R77" s="19" t="s">
        <v>77</v>
      </c>
      <c r="S77" s="19" t="s">
        <v>69</v>
      </c>
      <c r="T77" s="19" t="s">
        <v>157</v>
      </c>
      <c r="U77" s="19" t="s">
        <v>90</v>
      </c>
      <c r="V77" s="19" t="s">
        <v>158</v>
      </c>
      <c r="W77" s="19" t="s">
        <v>159</v>
      </c>
      <c r="X77" s="19" t="s">
        <v>166</v>
      </c>
      <c r="Y77" s="19" t="s">
        <v>160</v>
      </c>
      <c r="Z77" s="19"/>
      <c r="AA77" s="19" t="s">
        <v>97</v>
      </c>
      <c r="AB77" s="19" t="s">
        <v>85</v>
      </c>
      <c r="AC77" s="19" t="str">
        <f aca="false">IF(H77="Punch","Entry",IF(OR(H77="Nexon",H77="Curvv"),"Compact","Premium"))</f>
        <v>Premium</v>
      </c>
      <c r="AD77" s="19" t="str">
        <f aca="false">IF(C77="18-25","Gen Z (18-25)",IF(C77="26-35","Young professionals (26-35)",IF(C77="36-45","Family builders (36-45)",IF(C77="46-55","Pre-retirement (46-55)","Seniors (55+)"))))</f>
        <v>Young professionals (26-35)</v>
      </c>
    </row>
    <row r="78" customFormat="false" ht="15" hidden="false" customHeight="false" outlineLevel="0" collapsed="false">
      <c r="A78" s="19" t="n">
        <v>77</v>
      </c>
      <c r="B78" s="19" t="s">
        <v>149</v>
      </c>
      <c r="C78" s="19" t="s">
        <v>31</v>
      </c>
      <c r="D78" s="19" t="n">
        <v>3</v>
      </c>
      <c r="E78" s="19" t="s">
        <v>175</v>
      </c>
      <c r="F78" s="19" t="s">
        <v>41</v>
      </c>
      <c r="G78" s="19" t="n">
        <v>3</v>
      </c>
      <c r="H78" s="19" t="s">
        <v>21</v>
      </c>
      <c r="I78" s="19" t="s">
        <v>53</v>
      </c>
      <c r="J78" s="19" t="s">
        <v>58</v>
      </c>
      <c r="K78" s="19" t="s">
        <v>177</v>
      </c>
      <c r="L78" s="19" t="n">
        <v>3</v>
      </c>
      <c r="M78" s="19" t="s">
        <v>62</v>
      </c>
      <c r="N78" s="19" t="s">
        <v>153</v>
      </c>
      <c r="O78" s="19" t="s">
        <v>178</v>
      </c>
      <c r="P78" s="19" t="s">
        <v>179</v>
      </c>
      <c r="Q78" s="19" t="s">
        <v>181</v>
      </c>
      <c r="R78" s="19" t="s">
        <v>77</v>
      </c>
      <c r="S78" s="19" t="s">
        <v>69</v>
      </c>
      <c r="T78" s="19" t="s">
        <v>157</v>
      </c>
      <c r="U78" s="19" t="s">
        <v>91</v>
      </c>
      <c r="V78" s="19" t="s">
        <v>173</v>
      </c>
      <c r="W78" s="19" t="s">
        <v>174</v>
      </c>
      <c r="X78" s="19" t="s">
        <v>166</v>
      </c>
      <c r="Y78" s="19" t="s">
        <v>160</v>
      </c>
      <c r="Z78" s="19"/>
      <c r="AA78" s="19" t="s">
        <v>104</v>
      </c>
      <c r="AB78" s="19" t="s">
        <v>85</v>
      </c>
      <c r="AC78" s="19" t="str">
        <f aca="false">IF(H78="Punch","Entry",IF(OR(H78="Nexon",H78="Curvv"),"Compact","Premium"))</f>
        <v>Premium</v>
      </c>
      <c r="AD78" s="19" t="str">
        <f aca="false">IF(C78="18-25","Gen Z (18-25)",IF(C78="26-35","Young professionals (26-35)",IF(C78="36-45","Family builders (36-45)",IF(C78="46-55","Pre-retirement (46-55)","Seniors (55+)"))))</f>
        <v>Family builders (36-45)</v>
      </c>
    </row>
    <row r="79" customFormat="false" ht="15" hidden="false" customHeight="false" outlineLevel="0" collapsed="false">
      <c r="A79" s="19" t="n">
        <v>78</v>
      </c>
      <c r="B79" s="19" t="s">
        <v>161</v>
      </c>
      <c r="C79" s="19" t="s">
        <v>32</v>
      </c>
      <c r="D79" s="19" t="n">
        <v>4</v>
      </c>
      <c r="E79" s="19" t="s">
        <v>162</v>
      </c>
      <c r="F79" s="19" t="s">
        <v>42</v>
      </c>
      <c r="G79" s="19" t="n">
        <v>4</v>
      </c>
      <c r="H79" s="19" t="s">
        <v>23</v>
      </c>
      <c r="I79" s="19" t="s">
        <v>53</v>
      </c>
      <c r="J79" s="19" t="s">
        <v>58</v>
      </c>
      <c r="K79" s="19" t="s">
        <v>163</v>
      </c>
      <c r="L79" s="19" t="n">
        <v>4</v>
      </c>
      <c r="M79" s="19" t="s">
        <v>62</v>
      </c>
      <c r="N79" s="19" t="s">
        <v>153</v>
      </c>
      <c r="O79" s="19" t="s">
        <v>178</v>
      </c>
      <c r="P79" s="19" t="s">
        <v>179</v>
      </c>
      <c r="Q79" s="19" t="s">
        <v>181</v>
      </c>
      <c r="R79" s="19" t="s">
        <v>75</v>
      </c>
      <c r="S79" s="19" t="s">
        <v>69</v>
      </c>
      <c r="T79" s="19" t="s">
        <v>157</v>
      </c>
      <c r="U79" s="19" t="s">
        <v>90</v>
      </c>
      <c r="V79" s="19" t="s">
        <v>158</v>
      </c>
      <c r="W79" s="19" t="s">
        <v>159</v>
      </c>
      <c r="X79" s="19" t="s">
        <v>166</v>
      </c>
      <c r="Y79" s="19" t="s">
        <v>166</v>
      </c>
      <c r="Z79" s="19" t="s">
        <v>176</v>
      </c>
      <c r="AA79" s="19" t="s">
        <v>97</v>
      </c>
      <c r="AB79" s="19" t="s">
        <v>85</v>
      </c>
      <c r="AC79" s="19" t="str">
        <f aca="false">IF(H79="Punch","Entry",IF(OR(H79="Nexon",H79="Curvv"),"Compact","Premium"))</f>
        <v>Premium</v>
      </c>
      <c r="AD79" s="19" t="str">
        <f aca="false">IF(C79="18-25","Gen Z (18-25)",IF(C79="26-35","Young professionals (26-35)",IF(C79="36-45","Family builders (36-45)",IF(C79="46-55","Pre-retirement (46-55)","Seniors (55+)"))))</f>
        <v>Pre-retirement (46-55)</v>
      </c>
    </row>
    <row r="80" customFormat="false" ht="15" hidden="false" customHeight="false" outlineLevel="0" collapsed="false">
      <c r="A80" s="19" t="n">
        <v>79</v>
      </c>
      <c r="B80" s="19" t="s">
        <v>149</v>
      </c>
      <c r="C80" s="19" t="s">
        <v>30</v>
      </c>
      <c r="D80" s="19" t="n">
        <v>2</v>
      </c>
      <c r="E80" s="19" t="s">
        <v>150</v>
      </c>
      <c r="F80" s="19" t="s">
        <v>42</v>
      </c>
      <c r="G80" s="19" t="n">
        <v>4</v>
      </c>
      <c r="H80" s="19" t="s">
        <v>19</v>
      </c>
      <c r="I80" s="19" t="s">
        <v>51</v>
      </c>
      <c r="J80" s="19" t="s">
        <v>151</v>
      </c>
      <c r="K80" s="19" t="s">
        <v>177</v>
      </c>
      <c r="L80" s="19" t="n">
        <v>3</v>
      </c>
      <c r="M80" s="19" t="s">
        <v>61</v>
      </c>
      <c r="N80" s="19" t="s">
        <v>153</v>
      </c>
      <c r="O80" s="19" t="s">
        <v>169</v>
      </c>
      <c r="P80" s="19" t="s">
        <v>170</v>
      </c>
      <c r="Q80" s="19" t="s">
        <v>171</v>
      </c>
      <c r="R80" s="19" t="s">
        <v>77</v>
      </c>
      <c r="S80" s="19" t="s">
        <v>69</v>
      </c>
      <c r="T80" s="19" t="s">
        <v>168</v>
      </c>
      <c r="U80" s="19" t="s">
        <v>91</v>
      </c>
      <c r="V80" s="19" t="s">
        <v>173</v>
      </c>
      <c r="W80" s="19" t="s">
        <v>174</v>
      </c>
      <c r="X80" s="19" t="s">
        <v>160</v>
      </c>
      <c r="Y80" s="19" t="s">
        <v>160</v>
      </c>
      <c r="Z80" s="19"/>
      <c r="AA80" s="19" t="s">
        <v>102</v>
      </c>
      <c r="AB80" s="19" t="s">
        <v>85</v>
      </c>
      <c r="AC80" s="19" t="str">
        <f aca="false">IF(H80="Punch","Entry",IF(OR(H80="Nexon",H80="Curvv"),"Compact","Premium"))</f>
        <v>Compact</v>
      </c>
      <c r="AD80" s="19" t="str">
        <f aca="false">IF(C80="18-25","Gen Z (18-25)",IF(C80="26-35","Young professionals (26-35)",IF(C80="36-45","Family builders (36-45)",IF(C80="46-55","Pre-retirement (46-55)","Seniors (55+)"))))</f>
        <v>Young professionals (26-35)</v>
      </c>
    </row>
    <row r="81" customFormat="false" ht="15" hidden="false" customHeight="false" outlineLevel="0" collapsed="false">
      <c r="A81" s="19" t="n">
        <v>80</v>
      </c>
      <c r="B81" s="19" t="s">
        <v>161</v>
      </c>
      <c r="C81" s="19" t="s">
        <v>31</v>
      </c>
      <c r="D81" s="19" t="n">
        <v>3</v>
      </c>
      <c r="E81" s="19" t="s">
        <v>175</v>
      </c>
      <c r="F81" s="19" t="s">
        <v>39</v>
      </c>
      <c r="G81" s="19" t="n">
        <v>1</v>
      </c>
      <c r="H81" s="19" t="s">
        <v>21</v>
      </c>
      <c r="I81" s="19" t="s">
        <v>53</v>
      </c>
      <c r="J81" s="19" t="s">
        <v>58</v>
      </c>
      <c r="K81" s="19" t="s">
        <v>152</v>
      </c>
      <c r="L81" s="19" t="n">
        <v>1</v>
      </c>
      <c r="M81" s="19" t="s">
        <v>62</v>
      </c>
      <c r="N81" s="19" t="s">
        <v>153</v>
      </c>
      <c r="O81" s="19" t="s">
        <v>178</v>
      </c>
      <c r="P81" s="19" t="s">
        <v>179</v>
      </c>
      <c r="Q81" s="19" t="s">
        <v>181</v>
      </c>
      <c r="R81" s="19" t="s">
        <v>77</v>
      </c>
      <c r="S81" s="19" t="s">
        <v>69</v>
      </c>
      <c r="T81" s="19" t="s">
        <v>180</v>
      </c>
      <c r="U81" s="19" t="s">
        <v>90</v>
      </c>
      <c r="V81" s="19" t="s">
        <v>158</v>
      </c>
      <c r="W81" s="19" t="s">
        <v>159</v>
      </c>
      <c r="X81" s="19" t="s">
        <v>166</v>
      </c>
      <c r="Y81" s="19" t="s">
        <v>166</v>
      </c>
      <c r="Z81" s="19" t="s">
        <v>176</v>
      </c>
      <c r="AA81" s="19" t="s">
        <v>97</v>
      </c>
      <c r="AB81" s="19" t="s">
        <v>85</v>
      </c>
      <c r="AC81" s="19" t="str">
        <f aca="false">IF(H81="Punch","Entry",IF(OR(H81="Nexon",H81="Curvv"),"Compact","Premium"))</f>
        <v>Premium</v>
      </c>
      <c r="AD81" s="19" t="str">
        <f aca="false">IF(C81="18-25","Gen Z (18-25)",IF(C81="26-35","Young professionals (26-35)",IF(C81="36-45","Family builders (36-45)",IF(C81="46-55","Pre-retirement (46-55)","Seniors (55+)"))))</f>
        <v>Family builders (36-45)</v>
      </c>
    </row>
    <row r="82" customFormat="false" ht="15" hidden="false" customHeight="false" outlineLevel="0" collapsed="false">
      <c r="A82" s="19" t="n">
        <v>81</v>
      </c>
      <c r="B82" s="19" t="s">
        <v>161</v>
      </c>
      <c r="C82" s="19" t="s">
        <v>32</v>
      </c>
      <c r="D82" s="19" t="n">
        <v>4</v>
      </c>
      <c r="E82" s="19" t="s">
        <v>175</v>
      </c>
      <c r="F82" s="19" t="s">
        <v>41</v>
      </c>
      <c r="G82" s="19" t="n">
        <v>3</v>
      </c>
      <c r="H82" s="19" t="s">
        <v>23</v>
      </c>
      <c r="I82" s="19" t="s">
        <v>53</v>
      </c>
      <c r="J82" s="19" t="s">
        <v>151</v>
      </c>
      <c r="K82" s="19" t="s">
        <v>177</v>
      </c>
      <c r="L82" s="19" t="n">
        <v>3</v>
      </c>
      <c r="M82" s="19" t="s">
        <v>62</v>
      </c>
      <c r="N82" s="19" t="s">
        <v>153</v>
      </c>
      <c r="O82" s="19" t="s">
        <v>178</v>
      </c>
      <c r="P82" s="19" t="s">
        <v>179</v>
      </c>
      <c r="Q82" s="19" t="s">
        <v>181</v>
      </c>
      <c r="R82" s="19" t="s">
        <v>76</v>
      </c>
      <c r="S82" s="19" t="s">
        <v>71</v>
      </c>
      <c r="T82" s="19" t="s">
        <v>180</v>
      </c>
      <c r="U82" s="19" t="s">
        <v>90</v>
      </c>
      <c r="V82" s="19" t="s">
        <v>158</v>
      </c>
      <c r="W82" s="19" t="s">
        <v>159</v>
      </c>
      <c r="X82" s="19" t="s">
        <v>166</v>
      </c>
      <c r="Y82" s="19" t="s">
        <v>160</v>
      </c>
      <c r="Z82" s="19"/>
      <c r="AA82" s="19" t="s">
        <v>103</v>
      </c>
      <c r="AB82" s="19" t="s">
        <v>99</v>
      </c>
      <c r="AC82" s="19" t="str">
        <f aca="false">IF(H82="Punch","Entry",IF(OR(H82="Nexon",H82="Curvv"),"Compact","Premium"))</f>
        <v>Premium</v>
      </c>
      <c r="AD82" s="19" t="str">
        <f aca="false">IF(C82="18-25","Gen Z (18-25)",IF(C82="26-35","Young professionals (26-35)",IF(C82="36-45","Family builders (36-45)",IF(C82="46-55","Pre-retirement (46-55)","Seniors (55+)"))))</f>
        <v>Pre-retirement (46-55)</v>
      </c>
    </row>
    <row r="83" customFormat="false" ht="15" hidden="false" customHeight="false" outlineLevel="0" collapsed="false">
      <c r="A83" s="19" t="n">
        <v>82</v>
      </c>
      <c r="B83" s="19" t="s">
        <v>161</v>
      </c>
      <c r="C83" s="19" t="s">
        <v>30</v>
      </c>
      <c r="D83" s="19" t="n">
        <v>2</v>
      </c>
      <c r="E83" s="19" t="s">
        <v>150</v>
      </c>
      <c r="F83" s="19" t="s">
        <v>40</v>
      </c>
      <c r="G83" s="19" t="n">
        <v>2</v>
      </c>
      <c r="H83" s="19" t="s">
        <v>24</v>
      </c>
      <c r="I83" s="19" t="s">
        <v>53</v>
      </c>
      <c r="J83" s="19" t="s">
        <v>151</v>
      </c>
      <c r="K83" s="19" t="s">
        <v>172</v>
      </c>
      <c r="L83" s="19" t="n">
        <v>2</v>
      </c>
      <c r="M83" s="19" t="s">
        <v>62</v>
      </c>
      <c r="N83" s="19" t="s">
        <v>153</v>
      </c>
      <c r="O83" s="19" t="s">
        <v>154</v>
      </c>
      <c r="P83" s="19" t="s">
        <v>155</v>
      </c>
      <c r="Q83" s="19" t="s">
        <v>156</v>
      </c>
      <c r="R83" s="19" t="s">
        <v>77</v>
      </c>
      <c r="S83" s="19" t="s">
        <v>69</v>
      </c>
      <c r="T83" s="19" t="s">
        <v>168</v>
      </c>
      <c r="U83" s="19" t="s">
        <v>91</v>
      </c>
      <c r="V83" s="19" t="s">
        <v>173</v>
      </c>
      <c r="W83" s="19" t="s">
        <v>174</v>
      </c>
      <c r="X83" s="19" t="s">
        <v>166</v>
      </c>
      <c r="Y83" s="19" t="s">
        <v>160</v>
      </c>
      <c r="Z83" s="19"/>
      <c r="AA83" s="19" t="s">
        <v>104</v>
      </c>
      <c r="AB83" s="19" t="s">
        <v>85</v>
      </c>
      <c r="AC83" s="19" t="str">
        <f aca="false">IF(H83="Punch","Entry",IF(OR(H83="Nexon",H83="Curvv"),"Compact","Premium"))</f>
        <v>Premium</v>
      </c>
      <c r="AD83" s="19" t="str">
        <f aca="false">IF(C83="18-25","Gen Z (18-25)",IF(C83="26-35","Young professionals (26-35)",IF(C83="36-45","Family builders (36-45)",IF(C83="46-55","Pre-retirement (46-55)","Seniors (55+)"))))</f>
        <v>Young professionals (26-35)</v>
      </c>
    </row>
    <row r="84" customFormat="false" ht="15" hidden="false" customHeight="false" outlineLevel="0" collapsed="false">
      <c r="A84" s="19" t="n">
        <v>83</v>
      </c>
      <c r="B84" s="19" t="s">
        <v>161</v>
      </c>
      <c r="C84" s="19" t="s">
        <v>31</v>
      </c>
      <c r="D84" s="19" t="n">
        <v>3</v>
      </c>
      <c r="E84" s="19" t="s">
        <v>162</v>
      </c>
      <c r="F84" s="19" t="s">
        <v>42</v>
      </c>
      <c r="G84" s="19" t="n">
        <v>4</v>
      </c>
      <c r="H84" s="19" t="s">
        <v>21</v>
      </c>
      <c r="I84" s="19" t="s">
        <v>52</v>
      </c>
      <c r="J84" s="19" t="s">
        <v>58</v>
      </c>
      <c r="K84" s="19" t="s">
        <v>163</v>
      </c>
      <c r="L84" s="19" t="n">
        <v>4</v>
      </c>
      <c r="M84" s="19" t="s">
        <v>62</v>
      </c>
      <c r="N84" s="19" t="s">
        <v>153</v>
      </c>
      <c r="O84" s="19" t="s">
        <v>178</v>
      </c>
      <c r="P84" s="19" t="s">
        <v>179</v>
      </c>
      <c r="Q84" s="19" t="s">
        <v>156</v>
      </c>
      <c r="R84" s="19" t="s">
        <v>75</v>
      </c>
      <c r="S84" s="19" t="s">
        <v>69</v>
      </c>
      <c r="T84" s="19" t="s">
        <v>157</v>
      </c>
      <c r="U84" s="19" t="s">
        <v>89</v>
      </c>
      <c r="V84" s="19" t="s">
        <v>164</v>
      </c>
      <c r="W84" s="19" t="s">
        <v>165</v>
      </c>
      <c r="X84" s="19" t="s">
        <v>166</v>
      </c>
      <c r="Y84" s="19" t="s">
        <v>160</v>
      </c>
      <c r="Z84" s="19"/>
      <c r="AA84" s="19" t="s">
        <v>98</v>
      </c>
      <c r="AB84" s="19" t="s">
        <v>99</v>
      </c>
      <c r="AC84" s="19" t="str">
        <f aca="false">IF(H84="Punch","Entry",IF(OR(H84="Nexon",H84="Curvv"),"Compact","Premium"))</f>
        <v>Premium</v>
      </c>
      <c r="AD84" s="19" t="str">
        <f aca="false">IF(C84="18-25","Gen Z (18-25)",IF(C84="26-35","Young professionals (26-35)",IF(C84="36-45","Family builders (36-45)",IF(C84="46-55","Pre-retirement (46-55)","Seniors (55+)"))))</f>
        <v>Family builders (36-45)</v>
      </c>
    </row>
    <row r="85" customFormat="false" ht="15" hidden="false" customHeight="false" outlineLevel="0" collapsed="false">
      <c r="A85" s="19" t="n">
        <v>84</v>
      </c>
      <c r="B85" s="19" t="s">
        <v>149</v>
      </c>
      <c r="C85" s="19" t="s">
        <v>29</v>
      </c>
      <c r="D85" s="19" t="n">
        <v>1</v>
      </c>
      <c r="E85" s="19" t="s">
        <v>150</v>
      </c>
      <c r="F85" s="19" t="s">
        <v>42</v>
      </c>
      <c r="G85" s="19" t="n">
        <v>4</v>
      </c>
      <c r="H85" s="19" t="s">
        <v>20</v>
      </c>
      <c r="I85" s="19" t="s">
        <v>54</v>
      </c>
      <c r="J85" s="19" t="s">
        <v>151</v>
      </c>
      <c r="K85" s="19" t="s">
        <v>163</v>
      </c>
      <c r="L85" s="19" t="n">
        <v>4</v>
      </c>
      <c r="M85" s="19" t="s">
        <v>61</v>
      </c>
      <c r="N85" s="19" t="s">
        <v>153</v>
      </c>
      <c r="O85" s="19" t="s">
        <v>154</v>
      </c>
      <c r="P85" s="19" t="s">
        <v>155</v>
      </c>
      <c r="Q85" s="19" t="s">
        <v>167</v>
      </c>
      <c r="R85" s="19" t="s">
        <v>76</v>
      </c>
      <c r="S85" s="19" t="s">
        <v>69</v>
      </c>
      <c r="T85" s="19" t="s">
        <v>168</v>
      </c>
      <c r="U85" s="19" t="s">
        <v>91</v>
      </c>
      <c r="V85" s="19" t="s">
        <v>173</v>
      </c>
      <c r="W85" s="19" t="s">
        <v>174</v>
      </c>
      <c r="X85" s="19" t="s">
        <v>160</v>
      </c>
      <c r="Y85" s="19" t="s">
        <v>160</v>
      </c>
      <c r="Z85" s="19"/>
      <c r="AA85" s="19" t="s">
        <v>102</v>
      </c>
      <c r="AB85" s="19" t="s">
        <v>85</v>
      </c>
      <c r="AC85" s="19" t="str">
        <f aca="false">IF(H85="Punch","Entry",IF(OR(H85="Nexon",H85="Curvv"),"Compact","Premium"))</f>
        <v>Entry</v>
      </c>
      <c r="AD85" s="19" t="str">
        <f aca="false">IF(C85="18-25","Gen Z (18-25)",IF(C85="26-35","Young professionals (26-35)",IF(C85="36-45","Family builders (36-45)",IF(C85="46-55","Pre-retirement (46-55)","Seniors (55+)"))))</f>
        <v>Gen Z (18-25)</v>
      </c>
    </row>
    <row r="86" customFormat="false" ht="15" hidden="false" customHeight="false" outlineLevel="0" collapsed="false">
      <c r="A86" s="19" t="n">
        <v>85</v>
      </c>
      <c r="B86" s="19" t="s">
        <v>161</v>
      </c>
      <c r="C86" s="19" t="s">
        <v>32</v>
      </c>
      <c r="D86" s="19" t="n">
        <v>4</v>
      </c>
      <c r="E86" s="19" t="s">
        <v>162</v>
      </c>
      <c r="F86" s="19" t="s">
        <v>42</v>
      </c>
      <c r="G86" s="19" t="n">
        <v>4</v>
      </c>
      <c r="H86" s="19" t="s">
        <v>19</v>
      </c>
      <c r="I86" s="19" t="s">
        <v>51</v>
      </c>
      <c r="J86" s="19" t="s">
        <v>58</v>
      </c>
      <c r="K86" s="19" t="s">
        <v>177</v>
      </c>
      <c r="L86" s="19" t="n">
        <v>3</v>
      </c>
      <c r="M86" s="19" t="s">
        <v>61</v>
      </c>
      <c r="N86" s="19" t="s">
        <v>153</v>
      </c>
      <c r="O86" s="19" t="s">
        <v>169</v>
      </c>
      <c r="P86" s="19" t="s">
        <v>170</v>
      </c>
      <c r="Q86" s="19" t="s">
        <v>171</v>
      </c>
      <c r="R86" s="19" t="s">
        <v>77</v>
      </c>
      <c r="S86" s="19" t="s">
        <v>71</v>
      </c>
      <c r="T86" s="19" t="s">
        <v>157</v>
      </c>
      <c r="U86" s="19" t="s">
        <v>90</v>
      </c>
      <c r="V86" s="19" t="s">
        <v>158</v>
      </c>
      <c r="W86" s="19" t="s">
        <v>159</v>
      </c>
      <c r="X86" s="19" t="s">
        <v>160</v>
      </c>
      <c r="Y86" s="19" t="s">
        <v>160</v>
      </c>
      <c r="Z86" s="19"/>
      <c r="AA86" s="19" t="s">
        <v>103</v>
      </c>
      <c r="AB86" s="19" t="s">
        <v>99</v>
      </c>
      <c r="AC86" s="19" t="str">
        <f aca="false">IF(H86="Punch","Entry",IF(OR(H86="Nexon",H86="Curvv"),"Compact","Premium"))</f>
        <v>Compact</v>
      </c>
      <c r="AD86" s="19" t="str">
        <f aca="false">IF(C86="18-25","Gen Z (18-25)",IF(C86="26-35","Young professionals (26-35)",IF(C86="36-45","Family builders (36-45)",IF(C86="46-55","Pre-retirement (46-55)","Seniors (55+)"))))</f>
        <v>Pre-retirement (46-55)</v>
      </c>
    </row>
    <row r="87" customFormat="false" ht="15" hidden="false" customHeight="false" outlineLevel="0" collapsed="false">
      <c r="A87" s="19" t="n">
        <v>86</v>
      </c>
      <c r="B87" s="19" t="s">
        <v>161</v>
      </c>
      <c r="C87" s="19" t="s">
        <v>30</v>
      </c>
      <c r="D87" s="19" t="n">
        <v>2</v>
      </c>
      <c r="E87" s="19" t="s">
        <v>150</v>
      </c>
      <c r="F87" s="19" t="s">
        <v>42</v>
      </c>
      <c r="G87" s="19" t="n">
        <v>4</v>
      </c>
      <c r="H87" s="19" t="s">
        <v>24</v>
      </c>
      <c r="I87" s="19" t="s">
        <v>51</v>
      </c>
      <c r="J87" s="19" t="s">
        <v>58</v>
      </c>
      <c r="K87" s="19" t="s">
        <v>163</v>
      </c>
      <c r="L87" s="19" t="n">
        <v>4</v>
      </c>
      <c r="M87" s="19" t="s">
        <v>62</v>
      </c>
      <c r="N87" s="19" t="s">
        <v>153</v>
      </c>
      <c r="O87" s="19" t="s">
        <v>169</v>
      </c>
      <c r="P87" s="19" t="s">
        <v>170</v>
      </c>
      <c r="Q87" s="19" t="s">
        <v>171</v>
      </c>
      <c r="R87" s="19" t="s">
        <v>77</v>
      </c>
      <c r="S87" s="19" t="s">
        <v>69</v>
      </c>
      <c r="T87" s="19" t="s">
        <v>168</v>
      </c>
      <c r="U87" s="19" t="s">
        <v>90</v>
      </c>
      <c r="V87" s="19" t="s">
        <v>158</v>
      </c>
      <c r="W87" s="19" t="s">
        <v>159</v>
      </c>
      <c r="X87" s="19" t="s">
        <v>166</v>
      </c>
      <c r="Y87" s="19" t="s">
        <v>166</v>
      </c>
      <c r="Z87" s="19" t="s">
        <v>176</v>
      </c>
      <c r="AA87" s="19" t="s">
        <v>97</v>
      </c>
      <c r="AB87" s="19" t="s">
        <v>85</v>
      </c>
      <c r="AC87" s="19" t="str">
        <f aca="false">IF(H87="Punch","Entry",IF(OR(H87="Nexon",H87="Curvv"),"Compact","Premium"))</f>
        <v>Premium</v>
      </c>
      <c r="AD87" s="19" t="str">
        <f aca="false">IF(C87="18-25","Gen Z (18-25)",IF(C87="26-35","Young professionals (26-35)",IF(C87="36-45","Family builders (36-45)",IF(C87="46-55","Pre-retirement (46-55)","Seniors (55+)"))))</f>
        <v>Young professionals (26-35)</v>
      </c>
    </row>
    <row r="88" customFormat="false" ht="15" hidden="false" customHeight="false" outlineLevel="0" collapsed="false">
      <c r="A88" s="19" t="n">
        <v>87</v>
      </c>
      <c r="B88" s="19" t="s">
        <v>149</v>
      </c>
      <c r="C88" s="19" t="s">
        <v>30</v>
      </c>
      <c r="D88" s="19" t="n">
        <v>2</v>
      </c>
      <c r="E88" s="19" t="s">
        <v>150</v>
      </c>
      <c r="F88" s="19" t="s">
        <v>41</v>
      </c>
      <c r="G88" s="19" t="n">
        <v>3</v>
      </c>
      <c r="H88" s="19" t="s">
        <v>19</v>
      </c>
      <c r="I88" s="19" t="s">
        <v>52</v>
      </c>
      <c r="J88" s="19" t="s">
        <v>151</v>
      </c>
      <c r="K88" s="19" t="s">
        <v>177</v>
      </c>
      <c r="L88" s="19" t="n">
        <v>3</v>
      </c>
      <c r="M88" s="19" t="s">
        <v>61</v>
      </c>
      <c r="N88" s="19" t="s">
        <v>153</v>
      </c>
      <c r="O88" s="19" t="s">
        <v>154</v>
      </c>
      <c r="P88" s="19" t="s">
        <v>155</v>
      </c>
      <c r="Q88" s="19" t="s">
        <v>156</v>
      </c>
      <c r="R88" s="19" t="s">
        <v>75</v>
      </c>
      <c r="S88" s="19" t="s">
        <v>69</v>
      </c>
      <c r="T88" s="19" t="s">
        <v>168</v>
      </c>
      <c r="U88" s="19" t="s">
        <v>90</v>
      </c>
      <c r="V88" s="19" t="s">
        <v>158</v>
      </c>
      <c r="W88" s="19" t="s">
        <v>159</v>
      </c>
      <c r="X88" s="19" t="s">
        <v>160</v>
      </c>
      <c r="Y88" s="19" t="s">
        <v>160</v>
      </c>
      <c r="Z88" s="19"/>
      <c r="AA88" s="19" t="s">
        <v>103</v>
      </c>
      <c r="AB88" s="19" t="s">
        <v>99</v>
      </c>
      <c r="AC88" s="19" t="str">
        <f aca="false">IF(H88="Punch","Entry",IF(OR(H88="Nexon",H88="Curvv"),"Compact","Premium"))</f>
        <v>Compact</v>
      </c>
      <c r="AD88" s="19" t="str">
        <f aca="false">IF(C88="18-25","Gen Z (18-25)",IF(C88="26-35","Young professionals (26-35)",IF(C88="36-45","Family builders (36-45)",IF(C88="46-55","Pre-retirement (46-55)","Seniors (55+)"))))</f>
        <v>Young professionals (26-35)</v>
      </c>
    </row>
    <row r="89" customFormat="false" ht="15" hidden="false" customHeight="false" outlineLevel="0" collapsed="false">
      <c r="A89" s="19" t="n">
        <v>88</v>
      </c>
      <c r="B89" s="19" t="s">
        <v>161</v>
      </c>
      <c r="C89" s="19" t="s">
        <v>30</v>
      </c>
      <c r="D89" s="19" t="n">
        <v>2</v>
      </c>
      <c r="E89" s="19" t="s">
        <v>150</v>
      </c>
      <c r="F89" s="19" t="s">
        <v>41</v>
      </c>
      <c r="G89" s="19" t="n">
        <v>3</v>
      </c>
      <c r="H89" s="19" t="s">
        <v>23</v>
      </c>
      <c r="I89" s="19" t="s">
        <v>53</v>
      </c>
      <c r="J89" s="19" t="s">
        <v>58</v>
      </c>
      <c r="K89" s="19" t="s">
        <v>177</v>
      </c>
      <c r="L89" s="19" t="n">
        <v>3</v>
      </c>
      <c r="M89" s="19" t="s">
        <v>62</v>
      </c>
      <c r="N89" s="19" t="s">
        <v>153</v>
      </c>
      <c r="O89" s="19" t="s">
        <v>178</v>
      </c>
      <c r="P89" s="19" t="s">
        <v>179</v>
      </c>
      <c r="Q89" s="19" t="s">
        <v>181</v>
      </c>
      <c r="R89" s="19" t="s">
        <v>77</v>
      </c>
      <c r="S89" s="19" t="s">
        <v>69</v>
      </c>
      <c r="T89" s="19" t="s">
        <v>157</v>
      </c>
      <c r="U89" s="19" t="s">
        <v>91</v>
      </c>
      <c r="V89" s="19" t="s">
        <v>173</v>
      </c>
      <c r="W89" s="19" t="s">
        <v>174</v>
      </c>
      <c r="X89" s="19" t="s">
        <v>166</v>
      </c>
      <c r="Y89" s="19" t="s">
        <v>160</v>
      </c>
      <c r="Z89" s="19"/>
      <c r="AA89" s="19" t="s">
        <v>102</v>
      </c>
      <c r="AB89" s="19" t="s">
        <v>85</v>
      </c>
      <c r="AC89" s="19" t="str">
        <f aca="false">IF(H89="Punch","Entry",IF(OR(H89="Nexon",H89="Curvv"),"Compact","Premium"))</f>
        <v>Premium</v>
      </c>
      <c r="AD89" s="19" t="str">
        <f aca="false">IF(C89="18-25","Gen Z (18-25)",IF(C89="26-35","Young professionals (26-35)",IF(C89="36-45","Family builders (36-45)",IF(C89="46-55","Pre-retirement (46-55)","Seniors (55+)"))))</f>
        <v>Young professionals (26-35)</v>
      </c>
    </row>
    <row r="90" customFormat="false" ht="15" hidden="false" customHeight="false" outlineLevel="0" collapsed="false">
      <c r="A90" s="19" t="n">
        <v>89</v>
      </c>
      <c r="B90" s="19" t="s">
        <v>161</v>
      </c>
      <c r="C90" s="19" t="s">
        <v>32</v>
      </c>
      <c r="D90" s="19" t="n">
        <v>4</v>
      </c>
      <c r="E90" s="19" t="s">
        <v>162</v>
      </c>
      <c r="F90" s="19" t="s">
        <v>42</v>
      </c>
      <c r="G90" s="19" t="n">
        <v>4</v>
      </c>
      <c r="H90" s="19" t="s">
        <v>21</v>
      </c>
      <c r="I90" s="19" t="s">
        <v>53</v>
      </c>
      <c r="J90" s="19" t="s">
        <v>58</v>
      </c>
      <c r="K90" s="19" t="s">
        <v>163</v>
      </c>
      <c r="L90" s="19" t="n">
        <v>4</v>
      </c>
      <c r="M90" s="19" t="s">
        <v>62</v>
      </c>
      <c r="N90" s="19" t="s">
        <v>153</v>
      </c>
      <c r="O90" s="19" t="s">
        <v>178</v>
      </c>
      <c r="P90" s="19" t="s">
        <v>179</v>
      </c>
      <c r="Q90" s="19" t="s">
        <v>181</v>
      </c>
      <c r="R90" s="19" t="s">
        <v>75</v>
      </c>
      <c r="S90" s="19" t="s">
        <v>71</v>
      </c>
      <c r="T90" s="19" t="s">
        <v>157</v>
      </c>
      <c r="U90" s="19" t="s">
        <v>89</v>
      </c>
      <c r="V90" s="19" t="s">
        <v>164</v>
      </c>
      <c r="W90" s="19" t="s">
        <v>165</v>
      </c>
      <c r="X90" s="19" t="s">
        <v>166</v>
      </c>
      <c r="Y90" s="19" t="s">
        <v>160</v>
      </c>
      <c r="Z90" s="19"/>
      <c r="AA90" s="19" t="s">
        <v>98</v>
      </c>
      <c r="AB90" s="19" t="s">
        <v>99</v>
      </c>
      <c r="AC90" s="19" t="str">
        <f aca="false">IF(H90="Punch","Entry",IF(OR(H90="Nexon",H90="Curvv"),"Compact","Premium"))</f>
        <v>Premium</v>
      </c>
      <c r="AD90" s="19" t="str">
        <f aca="false">IF(C90="18-25","Gen Z (18-25)",IF(C90="26-35","Young professionals (26-35)",IF(C90="36-45","Family builders (36-45)",IF(C90="46-55","Pre-retirement (46-55)","Seniors (55+)"))))</f>
        <v>Pre-retirement (46-55)</v>
      </c>
    </row>
    <row r="91" customFormat="false" ht="15" hidden="false" customHeight="false" outlineLevel="0" collapsed="false">
      <c r="A91" s="19" t="n">
        <v>90</v>
      </c>
      <c r="B91" s="19" t="s">
        <v>161</v>
      </c>
      <c r="C91" s="19" t="s">
        <v>31</v>
      </c>
      <c r="D91" s="19" t="n">
        <v>3</v>
      </c>
      <c r="E91" s="19" t="s">
        <v>175</v>
      </c>
      <c r="F91" s="19" t="s">
        <v>40</v>
      </c>
      <c r="G91" s="19" t="n">
        <v>2</v>
      </c>
      <c r="H91" s="19" t="s">
        <v>23</v>
      </c>
      <c r="I91" s="19" t="s">
        <v>51</v>
      </c>
      <c r="J91" s="19" t="s">
        <v>151</v>
      </c>
      <c r="K91" s="19" t="s">
        <v>172</v>
      </c>
      <c r="L91" s="19" t="n">
        <v>2</v>
      </c>
      <c r="M91" s="19" t="s">
        <v>62</v>
      </c>
      <c r="N91" s="19" t="s">
        <v>153</v>
      </c>
      <c r="O91" s="19" t="s">
        <v>169</v>
      </c>
      <c r="P91" s="19" t="s">
        <v>170</v>
      </c>
      <c r="Q91" s="19" t="s">
        <v>171</v>
      </c>
      <c r="R91" s="19" t="s">
        <v>75</v>
      </c>
      <c r="S91" s="19" t="s">
        <v>69</v>
      </c>
      <c r="T91" s="19" t="s">
        <v>180</v>
      </c>
      <c r="U91" s="19" t="s">
        <v>91</v>
      </c>
      <c r="V91" s="19" t="s">
        <v>173</v>
      </c>
      <c r="W91" s="19" t="s">
        <v>174</v>
      </c>
      <c r="X91" s="19" t="s">
        <v>166</v>
      </c>
      <c r="Y91" s="19" t="s">
        <v>160</v>
      </c>
      <c r="Z91" s="19"/>
      <c r="AA91" s="19" t="s">
        <v>104</v>
      </c>
      <c r="AB91" s="19" t="s">
        <v>85</v>
      </c>
      <c r="AC91" s="19" t="str">
        <f aca="false">IF(H91="Punch","Entry",IF(OR(H91="Nexon",H91="Curvv"),"Compact","Premium"))</f>
        <v>Premium</v>
      </c>
      <c r="AD91" s="19" t="str">
        <f aca="false">IF(C91="18-25","Gen Z (18-25)",IF(C91="26-35","Young professionals (26-35)",IF(C91="36-45","Family builders (36-45)",IF(C91="46-55","Pre-retirement (46-55)","Seniors (55+)"))))</f>
        <v>Family builders (36-45)</v>
      </c>
    </row>
    <row r="92" customFormat="false" ht="15" hidden="false" customHeight="false" outlineLevel="0" collapsed="false">
      <c r="A92" s="19" t="n">
        <v>91</v>
      </c>
      <c r="B92" s="19" t="s">
        <v>161</v>
      </c>
      <c r="C92" s="19" t="s">
        <v>32</v>
      </c>
      <c r="D92" s="19" t="n">
        <v>4</v>
      </c>
      <c r="E92" s="19" t="s">
        <v>162</v>
      </c>
      <c r="F92" s="19" t="s">
        <v>42</v>
      </c>
      <c r="G92" s="19" t="n">
        <v>4</v>
      </c>
      <c r="H92" s="19" t="s">
        <v>22</v>
      </c>
      <c r="I92" s="19" t="s">
        <v>52</v>
      </c>
      <c r="J92" s="19" t="s">
        <v>58</v>
      </c>
      <c r="K92" s="19" t="s">
        <v>163</v>
      </c>
      <c r="L92" s="19" t="n">
        <v>4</v>
      </c>
      <c r="M92" s="19" t="s">
        <v>61</v>
      </c>
      <c r="N92" s="19" t="s">
        <v>153</v>
      </c>
      <c r="O92" s="19" t="s">
        <v>169</v>
      </c>
      <c r="P92" s="19" t="s">
        <v>179</v>
      </c>
      <c r="Q92" s="19" t="s">
        <v>156</v>
      </c>
      <c r="R92" s="19" t="s">
        <v>77</v>
      </c>
      <c r="S92" s="19" t="s">
        <v>71</v>
      </c>
      <c r="T92" s="19" t="s">
        <v>180</v>
      </c>
      <c r="U92" s="19" t="s">
        <v>91</v>
      </c>
      <c r="V92" s="19" t="s">
        <v>173</v>
      </c>
      <c r="W92" s="19" t="s">
        <v>174</v>
      </c>
      <c r="X92" s="19" t="s">
        <v>166</v>
      </c>
      <c r="Y92" s="19" t="s">
        <v>160</v>
      </c>
      <c r="Z92" s="19"/>
      <c r="AA92" s="19" t="s">
        <v>104</v>
      </c>
      <c r="AB92" s="19" t="s">
        <v>85</v>
      </c>
      <c r="AC92" s="19" t="str">
        <f aca="false">IF(H92="Punch","Entry",IF(OR(H92="Nexon",H92="Curvv"),"Compact","Premium"))</f>
        <v>Compact</v>
      </c>
      <c r="AD92" s="19" t="str">
        <f aca="false">IF(C92="18-25","Gen Z (18-25)",IF(C92="26-35","Young professionals (26-35)",IF(C92="36-45","Family builders (36-45)",IF(C92="46-55","Pre-retirement (46-55)","Seniors (55+)"))))</f>
        <v>Pre-retirement (46-55)</v>
      </c>
    </row>
    <row r="93" customFormat="false" ht="15" hidden="false" customHeight="false" outlineLevel="0" collapsed="false">
      <c r="A93" s="19" t="n">
        <v>92</v>
      </c>
      <c r="B93" s="19" t="s">
        <v>161</v>
      </c>
      <c r="C93" s="19" t="s">
        <v>30</v>
      </c>
      <c r="D93" s="19" t="n">
        <v>2</v>
      </c>
      <c r="E93" s="19" t="s">
        <v>150</v>
      </c>
      <c r="F93" s="19" t="s">
        <v>39</v>
      </c>
      <c r="G93" s="19" t="n">
        <v>1</v>
      </c>
      <c r="H93" s="19" t="s">
        <v>19</v>
      </c>
      <c r="I93" s="19" t="s">
        <v>52</v>
      </c>
      <c r="J93" s="19" t="s">
        <v>151</v>
      </c>
      <c r="K93" s="19" t="s">
        <v>152</v>
      </c>
      <c r="L93" s="19" t="n">
        <v>1</v>
      </c>
      <c r="M93" s="19" t="s">
        <v>61</v>
      </c>
      <c r="N93" s="19" t="s">
        <v>153</v>
      </c>
      <c r="O93" s="19" t="s">
        <v>154</v>
      </c>
      <c r="P93" s="19" t="s">
        <v>155</v>
      </c>
      <c r="Q93" s="19" t="s">
        <v>167</v>
      </c>
      <c r="R93" s="19" t="s">
        <v>76</v>
      </c>
      <c r="S93" s="19" t="s">
        <v>69</v>
      </c>
      <c r="T93" s="19" t="s">
        <v>157</v>
      </c>
      <c r="U93" s="19" t="s">
        <v>90</v>
      </c>
      <c r="V93" s="19" t="s">
        <v>158</v>
      </c>
      <c r="W93" s="19" t="s">
        <v>159</v>
      </c>
      <c r="X93" s="19" t="s">
        <v>160</v>
      </c>
      <c r="Y93" s="19" t="s">
        <v>166</v>
      </c>
      <c r="Z93" s="19" t="s">
        <v>176</v>
      </c>
      <c r="AA93" s="19" t="s">
        <v>103</v>
      </c>
      <c r="AB93" s="19" t="s">
        <v>99</v>
      </c>
      <c r="AC93" s="19" t="str">
        <f aca="false">IF(H93="Punch","Entry",IF(OR(H93="Nexon",H93="Curvv"),"Compact","Premium"))</f>
        <v>Compact</v>
      </c>
      <c r="AD93" s="19" t="str">
        <f aca="false">IF(C93="18-25","Gen Z (18-25)",IF(C93="26-35","Young professionals (26-35)",IF(C93="36-45","Family builders (36-45)",IF(C93="46-55","Pre-retirement (46-55)","Seniors (55+)"))))</f>
        <v>Young professionals (26-35)</v>
      </c>
    </row>
    <row r="94" customFormat="false" ht="15" hidden="false" customHeight="false" outlineLevel="0" collapsed="false">
      <c r="A94" s="19" t="n">
        <v>93</v>
      </c>
      <c r="B94" s="19" t="s">
        <v>149</v>
      </c>
      <c r="C94" s="19" t="s">
        <v>30</v>
      </c>
      <c r="D94" s="19" t="n">
        <v>2</v>
      </c>
      <c r="E94" s="19" t="s">
        <v>150</v>
      </c>
      <c r="F94" s="19" t="s">
        <v>41</v>
      </c>
      <c r="G94" s="19" t="n">
        <v>3</v>
      </c>
      <c r="H94" s="19" t="s">
        <v>22</v>
      </c>
      <c r="I94" s="19" t="s">
        <v>54</v>
      </c>
      <c r="J94" s="19" t="s">
        <v>151</v>
      </c>
      <c r="K94" s="19" t="s">
        <v>177</v>
      </c>
      <c r="L94" s="19" t="n">
        <v>3</v>
      </c>
      <c r="M94" s="19" t="s">
        <v>61</v>
      </c>
      <c r="N94" s="19" t="s">
        <v>153</v>
      </c>
      <c r="O94" s="19" t="s">
        <v>169</v>
      </c>
      <c r="P94" s="19" t="s">
        <v>179</v>
      </c>
      <c r="Q94" s="19" t="s">
        <v>156</v>
      </c>
      <c r="R94" s="19" t="s">
        <v>75</v>
      </c>
      <c r="S94" s="19" t="s">
        <v>69</v>
      </c>
      <c r="T94" s="19" t="s">
        <v>168</v>
      </c>
      <c r="U94" s="19" t="s">
        <v>89</v>
      </c>
      <c r="V94" s="19" t="s">
        <v>164</v>
      </c>
      <c r="W94" s="19" t="s">
        <v>165</v>
      </c>
      <c r="X94" s="19" t="s">
        <v>166</v>
      </c>
      <c r="Y94" s="19" t="s">
        <v>160</v>
      </c>
      <c r="Z94" s="19"/>
      <c r="AA94" s="19" t="s">
        <v>105</v>
      </c>
      <c r="AB94" s="19" t="s">
        <v>101</v>
      </c>
      <c r="AC94" s="19" t="str">
        <f aca="false">IF(H94="Punch","Entry",IF(OR(H94="Nexon",H94="Curvv"),"Compact","Premium"))</f>
        <v>Compact</v>
      </c>
      <c r="AD94" s="19" t="str">
        <f aca="false">IF(C94="18-25","Gen Z (18-25)",IF(C94="26-35","Young professionals (26-35)",IF(C94="36-45","Family builders (36-45)",IF(C94="46-55","Pre-retirement (46-55)","Seniors (55+)"))))</f>
        <v>Young professionals (26-35)</v>
      </c>
    </row>
    <row r="95" customFormat="false" ht="15" hidden="false" customHeight="false" outlineLevel="0" collapsed="false">
      <c r="A95" s="19" t="n">
        <v>94</v>
      </c>
      <c r="B95" s="19" t="s">
        <v>161</v>
      </c>
      <c r="C95" s="19" t="s">
        <v>33</v>
      </c>
      <c r="D95" s="19" t="n">
        <v>5</v>
      </c>
      <c r="E95" s="19" t="s">
        <v>182</v>
      </c>
      <c r="F95" s="19" t="s">
        <v>41</v>
      </c>
      <c r="G95" s="19" t="n">
        <v>3</v>
      </c>
      <c r="H95" s="19" t="s">
        <v>21</v>
      </c>
      <c r="I95" s="19" t="s">
        <v>53</v>
      </c>
      <c r="J95" s="19" t="s">
        <v>58</v>
      </c>
      <c r="K95" s="19" t="s">
        <v>177</v>
      </c>
      <c r="L95" s="19" t="n">
        <v>3</v>
      </c>
      <c r="M95" s="19" t="s">
        <v>62</v>
      </c>
      <c r="N95" s="19" t="s">
        <v>153</v>
      </c>
      <c r="O95" s="19" t="s">
        <v>178</v>
      </c>
      <c r="P95" s="19" t="s">
        <v>179</v>
      </c>
      <c r="Q95" s="19" t="s">
        <v>181</v>
      </c>
      <c r="R95" s="19" t="s">
        <v>77</v>
      </c>
      <c r="S95" s="19" t="s">
        <v>71</v>
      </c>
      <c r="T95" s="19" t="s">
        <v>180</v>
      </c>
      <c r="U95" s="19" t="s">
        <v>90</v>
      </c>
      <c r="V95" s="19" t="s">
        <v>158</v>
      </c>
      <c r="W95" s="19" t="s">
        <v>159</v>
      </c>
      <c r="X95" s="19" t="s">
        <v>166</v>
      </c>
      <c r="Y95" s="19" t="s">
        <v>160</v>
      </c>
      <c r="Z95" s="19"/>
      <c r="AA95" s="19" t="s">
        <v>97</v>
      </c>
      <c r="AB95" s="19" t="s">
        <v>85</v>
      </c>
      <c r="AC95" s="19" t="str">
        <f aca="false">IF(H95="Punch","Entry",IF(OR(H95="Nexon",H95="Curvv"),"Compact","Premium"))</f>
        <v>Premium</v>
      </c>
      <c r="AD95" s="19" t="str">
        <f aca="false">IF(C95="18-25","Gen Z (18-25)",IF(C95="26-35","Young professionals (26-35)",IF(C95="36-45","Family builders (36-45)",IF(C95="46-55","Pre-retirement (46-55)","Seniors (55+)"))))</f>
        <v>Seniors (55+)</v>
      </c>
    </row>
    <row r="96" customFormat="false" ht="15" hidden="false" customHeight="false" outlineLevel="0" collapsed="false">
      <c r="A96" s="19" t="n">
        <v>95</v>
      </c>
      <c r="B96" s="19" t="s">
        <v>149</v>
      </c>
      <c r="C96" s="19" t="s">
        <v>29</v>
      </c>
      <c r="D96" s="19" t="n">
        <v>1</v>
      </c>
      <c r="E96" s="19" t="s">
        <v>150</v>
      </c>
      <c r="F96" s="19" t="s">
        <v>39</v>
      </c>
      <c r="G96" s="19" t="n">
        <v>1</v>
      </c>
      <c r="H96" s="19" t="s">
        <v>20</v>
      </c>
      <c r="I96" s="19" t="s">
        <v>53</v>
      </c>
      <c r="J96" s="19" t="s">
        <v>58</v>
      </c>
      <c r="K96" s="19" t="s">
        <v>152</v>
      </c>
      <c r="L96" s="19" t="n">
        <v>1</v>
      </c>
      <c r="M96" s="19" t="s">
        <v>61</v>
      </c>
      <c r="N96" s="19" t="s">
        <v>153</v>
      </c>
      <c r="O96" s="19" t="s">
        <v>154</v>
      </c>
      <c r="P96" s="19" t="s">
        <v>155</v>
      </c>
      <c r="Q96" s="19" t="s">
        <v>167</v>
      </c>
      <c r="R96" s="19" t="s">
        <v>75</v>
      </c>
      <c r="S96" s="19" t="s">
        <v>69</v>
      </c>
      <c r="T96" s="19" t="s">
        <v>157</v>
      </c>
      <c r="U96" s="19" t="s">
        <v>91</v>
      </c>
      <c r="V96" s="19" t="s">
        <v>173</v>
      </c>
      <c r="W96" s="19" t="s">
        <v>174</v>
      </c>
      <c r="X96" s="19" t="s">
        <v>160</v>
      </c>
      <c r="Y96" s="19" t="s">
        <v>160</v>
      </c>
      <c r="Z96" s="19"/>
      <c r="AA96" s="19" t="s">
        <v>104</v>
      </c>
      <c r="AB96" s="19" t="s">
        <v>85</v>
      </c>
      <c r="AC96" s="19" t="str">
        <f aca="false">IF(H96="Punch","Entry",IF(OR(H96="Nexon",H96="Curvv"),"Compact","Premium"))</f>
        <v>Entry</v>
      </c>
      <c r="AD96" s="19" t="str">
        <f aca="false">IF(C96="18-25","Gen Z (18-25)",IF(C96="26-35","Young professionals (26-35)",IF(C96="36-45","Family builders (36-45)",IF(C96="46-55","Pre-retirement (46-55)","Seniors (55+)"))))</f>
        <v>Gen Z (18-25)</v>
      </c>
    </row>
    <row r="97" customFormat="false" ht="15" hidden="false" customHeight="false" outlineLevel="0" collapsed="false">
      <c r="A97" s="19" t="n">
        <v>96</v>
      </c>
      <c r="B97" s="19" t="s">
        <v>161</v>
      </c>
      <c r="C97" s="19" t="s">
        <v>31</v>
      </c>
      <c r="D97" s="19" t="n">
        <v>3</v>
      </c>
      <c r="E97" s="19" t="s">
        <v>162</v>
      </c>
      <c r="F97" s="19" t="s">
        <v>42</v>
      </c>
      <c r="G97" s="19" t="n">
        <v>4</v>
      </c>
      <c r="H97" s="19" t="s">
        <v>23</v>
      </c>
      <c r="I97" s="19" t="s">
        <v>54</v>
      </c>
      <c r="J97" s="19" t="s">
        <v>58</v>
      </c>
      <c r="K97" s="19" t="s">
        <v>163</v>
      </c>
      <c r="L97" s="19" t="n">
        <v>4</v>
      </c>
      <c r="M97" s="19" t="s">
        <v>62</v>
      </c>
      <c r="N97" s="19" t="s">
        <v>153</v>
      </c>
      <c r="O97" s="19" t="s">
        <v>178</v>
      </c>
      <c r="P97" s="19" t="s">
        <v>179</v>
      </c>
      <c r="Q97" s="19" t="s">
        <v>156</v>
      </c>
      <c r="R97" s="19" t="s">
        <v>76</v>
      </c>
      <c r="S97" s="19" t="s">
        <v>69</v>
      </c>
      <c r="T97" s="19" t="s">
        <v>157</v>
      </c>
      <c r="U97" s="19" t="s">
        <v>89</v>
      </c>
      <c r="V97" s="19" t="s">
        <v>164</v>
      </c>
      <c r="W97" s="19" t="s">
        <v>165</v>
      </c>
      <c r="X97" s="19" t="s">
        <v>166</v>
      </c>
      <c r="Y97" s="19" t="s">
        <v>160</v>
      </c>
      <c r="Z97" s="19"/>
      <c r="AA97" s="19" t="s">
        <v>98</v>
      </c>
      <c r="AB97" s="19" t="s">
        <v>99</v>
      </c>
      <c r="AC97" s="19" t="str">
        <f aca="false">IF(H97="Punch","Entry",IF(OR(H97="Nexon",H97="Curvv"),"Compact","Premium"))</f>
        <v>Premium</v>
      </c>
      <c r="AD97" s="19" t="str">
        <f aca="false">IF(C97="18-25","Gen Z (18-25)",IF(C97="26-35","Young professionals (26-35)",IF(C97="36-45","Family builders (36-45)",IF(C97="46-55","Pre-retirement (46-55)","Seniors (55+)"))))</f>
        <v>Family builders (36-45)</v>
      </c>
    </row>
    <row r="98" customFormat="false" ht="15" hidden="false" customHeight="false" outlineLevel="0" collapsed="false">
      <c r="A98" s="19" t="n">
        <v>97</v>
      </c>
      <c r="B98" s="19" t="s">
        <v>161</v>
      </c>
      <c r="C98" s="19" t="s">
        <v>29</v>
      </c>
      <c r="D98" s="19" t="n">
        <v>1</v>
      </c>
      <c r="E98" s="19" t="s">
        <v>150</v>
      </c>
      <c r="F98" s="19" t="s">
        <v>41</v>
      </c>
      <c r="G98" s="19" t="n">
        <v>3</v>
      </c>
      <c r="H98" s="19" t="s">
        <v>22</v>
      </c>
      <c r="I98" s="19" t="s">
        <v>53</v>
      </c>
      <c r="J98" s="19" t="s">
        <v>151</v>
      </c>
      <c r="K98" s="19" t="s">
        <v>177</v>
      </c>
      <c r="L98" s="19" t="n">
        <v>3</v>
      </c>
      <c r="M98" s="19" t="s">
        <v>61</v>
      </c>
      <c r="N98" s="19" t="s">
        <v>153</v>
      </c>
      <c r="O98" s="19" t="s">
        <v>169</v>
      </c>
      <c r="P98" s="19" t="s">
        <v>179</v>
      </c>
      <c r="Q98" s="19" t="s">
        <v>156</v>
      </c>
      <c r="R98" s="19" t="s">
        <v>77</v>
      </c>
      <c r="S98" s="19" t="s">
        <v>69</v>
      </c>
      <c r="T98" s="19" t="s">
        <v>157</v>
      </c>
      <c r="U98" s="19" t="s">
        <v>90</v>
      </c>
      <c r="V98" s="19" t="s">
        <v>158</v>
      </c>
      <c r="W98" s="19" t="s">
        <v>159</v>
      </c>
      <c r="X98" s="19" t="s">
        <v>166</v>
      </c>
      <c r="Y98" s="19" t="s">
        <v>160</v>
      </c>
      <c r="Z98" s="19"/>
      <c r="AA98" s="19" t="s">
        <v>97</v>
      </c>
      <c r="AB98" s="19" t="s">
        <v>85</v>
      </c>
      <c r="AC98" s="19" t="str">
        <f aca="false">IF(H98="Punch","Entry",IF(OR(H98="Nexon",H98="Curvv"),"Compact","Premium"))</f>
        <v>Compact</v>
      </c>
      <c r="AD98" s="19" t="str">
        <f aca="false">IF(C98="18-25","Gen Z (18-25)",IF(C98="26-35","Young professionals (26-35)",IF(C98="36-45","Family builders (36-45)",IF(C98="46-55","Pre-retirement (46-55)","Seniors (55+)"))))</f>
        <v>Gen Z (18-25)</v>
      </c>
    </row>
    <row r="99" customFormat="false" ht="15" hidden="false" customHeight="false" outlineLevel="0" collapsed="false">
      <c r="A99" s="19" t="n">
        <v>98</v>
      </c>
      <c r="B99" s="19" t="s">
        <v>161</v>
      </c>
      <c r="C99" s="19" t="s">
        <v>30</v>
      </c>
      <c r="D99" s="19" t="n">
        <v>2</v>
      </c>
      <c r="E99" s="19" t="s">
        <v>150</v>
      </c>
      <c r="F99" s="19" t="s">
        <v>40</v>
      </c>
      <c r="G99" s="19" t="n">
        <v>2</v>
      </c>
      <c r="H99" s="19" t="s">
        <v>19</v>
      </c>
      <c r="I99" s="19" t="s">
        <v>52</v>
      </c>
      <c r="J99" s="19" t="s">
        <v>151</v>
      </c>
      <c r="K99" s="19" t="s">
        <v>172</v>
      </c>
      <c r="L99" s="19" t="n">
        <v>2</v>
      </c>
      <c r="M99" s="19" t="s">
        <v>61</v>
      </c>
      <c r="N99" s="19" t="s">
        <v>153</v>
      </c>
      <c r="O99" s="19" t="s">
        <v>154</v>
      </c>
      <c r="P99" s="19" t="s">
        <v>155</v>
      </c>
      <c r="Q99" s="19" t="s">
        <v>167</v>
      </c>
      <c r="R99" s="19" t="s">
        <v>77</v>
      </c>
      <c r="S99" s="19" t="s">
        <v>69</v>
      </c>
      <c r="T99" s="19" t="s">
        <v>157</v>
      </c>
      <c r="U99" s="19" t="s">
        <v>90</v>
      </c>
      <c r="V99" s="19" t="s">
        <v>158</v>
      </c>
      <c r="W99" s="19" t="s">
        <v>159</v>
      </c>
      <c r="X99" s="19" t="s">
        <v>160</v>
      </c>
      <c r="Y99" s="19" t="s">
        <v>166</v>
      </c>
      <c r="Z99" s="19" t="s">
        <v>176</v>
      </c>
      <c r="AA99" s="19" t="s">
        <v>97</v>
      </c>
      <c r="AB99" s="19" t="s">
        <v>85</v>
      </c>
      <c r="AC99" s="19" t="str">
        <f aca="false">IF(H99="Punch","Entry",IF(OR(H99="Nexon",H99="Curvv"),"Compact","Premium"))</f>
        <v>Compact</v>
      </c>
      <c r="AD99" s="19" t="str">
        <f aca="false">IF(C99="18-25","Gen Z (18-25)",IF(C99="26-35","Young professionals (26-35)",IF(C99="36-45","Family builders (36-45)",IF(C99="46-55","Pre-retirement (46-55)","Seniors (55+)"))))</f>
        <v>Young professionals (26-35)</v>
      </c>
    </row>
    <row r="100" customFormat="false" ht="15" hidden="false" customHeight="false" outlineLevel="0" collapsed="false">
      <c r="A100" s="19" t="n">
        <v>99</v>
      </c>
      <c r="B100" s="19" t="s">
        <v>161</v>
      </c>
      <c r="C100" s="19" t="s">
        <v>30</v>
      </c>
      <c r="D100" s="19" t="n">
        <v>2</v>
      </c>
      <c r="E100" s="19" t="s">
        <v>150</v>
      </c>
      <c r="F100" s="19" t="s">
        <v>40</v>
      </c>
      <c r="G100" s="19" t="n">
        <v>2</v>
      </c>
      <c r="H100" s="19" t="s">
        <v>23</v>
      </c>
      <c r="I100" s="19" t="s">
        <v>52</v>
      </c>
      <c r="J100" s="19" t="s">
        <v>58</v>
      </c>
      <c r="K100" s="19" t="s">
        <v>172</v>
      </c>
      <c r="L100" s="19" t="n">
        <v>2</v>
      </c>
      <c r="M100" s="19" t="s">
        <v>62</v>
      </c>
      <c r="N100" s="19" t="s">
        <v>153</v>
      </c>
      <c r="O100" s="19" t="s">
        <v>178</v>
      </c>
      <c r="P100" s="19" t="s">
        <v>179</v>
      </c>
      <c r="Q100" s="19" t="s">
        <v>181</v>
      </c>
      <c r="R100" s="19" t="s">
        <v>76</v>
      </c>
      <c r="S100" s="19" t="s">
        <v>69</v>
      </c>
      <c r="T100" s="19" t="s">
        <v>168</v>
      </c>
      <c r="U100" s="19" t="s">
        <v>90</v>
      </c>
      <c r="V100" s="19" t="s">
        <v>158</v>
      </c>
      <c r="W100" s="19" t="s">
        <v>159</v>
      </c>
      <c r="X100" s="19" t="s">
        <v>166</v>
      </c>
      <c r="Y100" s="19" t="s">
        <v>160</v>
      </c>
      <c r="Z100" s="19"/>
      <c r="AA100" s="19" t="s">
        <v>103</v>
      </c>
      <c r="AB100" s="19" t="s">
        <v>99</v>
      </c>
      <c r="AC100" s="19" t="str">
        <f aca="false">IF(H100="Punch","Entry",IF(OR(H100="Nexon",H100="Curvv"),"Compact","Premium"))</f>
        <v>Premium</v>
      </c>
      <c r="AD100" s="19" t="str">
        <f aca="false">IF(C100="18-25","Gen Z (18-25)",IF(C100="26-35","Young professionals (26-35)",IF(C100="36-45","Family builders (36-45)",IF(C100="46-55","Pre-retirement (46-55)","Seniors (55+)"))))</f>
        <v>Young professionals (26-35)</v>
      </c>
    </row>
    <row r="101" customFormat="false" ht="15" hidden="false" customHeight="false" outlineLevel="0" collapsed="false">
      <c r="A101" s="19" t="n">
        <v>100</v>
      </c>
      <c r="B101" s="19" t="s">
        <v>161</v>
      </c>
      <c r="C101" s="19" t="s">
        <v>32</v>
      </c>
      <c r="D101" s="19" t="n">
        <v>4</v>
      </c>
      <c r="E101" s="19" t="s">
        <v>175</v>
      </c>
      <c r="F101" s="19" t="s">
        <v>40</v>
      </c>
      <c r="G101" s="19" t="n">
        <v>2</v>
      </c>
      <c r="H101" s="19" t="s">
        <v>19</v>
      </c>
      <c r="I101" s="19" t="s">
        <v>54</v>
      </c>
      <c r="J101" s="19" t="s">
        <v>151</v>
      </c>
      <c r="K101" s="19" t="s">
        <v>172</v>
      </c>
      <c r="L101" s="19" t="n">
        <v>2</v>
      </c>
      <c r="M101" s="19" t="s">
        <v>61</v>
      </c>
      <c r="N101" s="19" t="s">
        <v>153</v>
      </c>
      <c r="O101" s="19" t="s">
        <v>154</v>
      </c>
      <c r="P101" s="19" t="s">
        <v>155</v>
      </c>
      <c r="Q101" s="19" t="s">
        <v>156</v>
      </c>
      <c r="R101" s="19" t="s">
        <v>77</v>
      </c>
      <c r="S101" s="19" t="s">
        <v>69</v>
      </c>
      <c r="T101" s="19" t="s">
        <v>180</v>
      </c>
      <c r="U101" s="19" t="s">
        <v>90</v>
      </c>
      <c r="V101" s="19" t="s">
        <v>158</v>
      </c>
      <c r="W101" s="19" t="s">
        <v>159</v>
      </c>
      <c r="X101" s="19" t="s">
        <v>160</v>
      </c>
      <c r="Y101" s="19" t="s">
        <v>166</v>
      </c>
      <c r="Z101" s="19" t="s">
        <v>176</v>
      </c>
      <c r="AA101" s="19" t="s">
        <v>97</v>
      </c>
      <c r="AB101" s="19" t="s">
        <v>85</v>
      </c>
      <c r="AC101" s="19" t="str">
        <f aca="false">IF(H101="Punch","Entry",IF(OR(H101="Nexon",H101="Curvv"),"Compact","Premium"))</f>
        <v>Compact</v>
      </c>
      <c r="AD101" s="19" t="str">
        <f aca="false">IF(C101="18-25","Gen Z (18-25)",IF(C101="26-35","Young professionals (26-35)",IF(C101="36-45","Family builders (36-45)",IF(C101="46-55","Pre-retirement (46-55)","Seniors (55+)"))))</f>
        <v>Pre-retirement (46-55)</v>
      </c>
    </row>
    <row r="102" customFormat="false" ht="15" hidden="false" customHeight="false" outlineLevel="0" collapsed="false">
      <c r="A102" s="19" t="n">
        <v>101</v>
      </c>
      <c r="B102" s="19" t="s">
        <v>149</v>
      </c>
      <c r="C102" s="19" t="s">
        <v>29</v>
      </c>
      <c r="D102" s="19" t="n">
        <v>1</v>
      </c>
      <c r="E102" s="19" t="s">
        <v>150</v>
      </c>
      <c r="F102" s="19" t="s">
        <v>40</v>
      </c>
      <c r="G102" s="19" t="n">
        <v>2</v>
      </c>
      <c r="H102" s="19" t="s">
        <v>20</v>
      </c>
      <c r="I102" s="19" t="s">
        <v>52</v>
      </c>
      <c r="J102" s="19" t="s">
        <v>151</v>
      </c>
      <c r="K102" s="19" t="s">
        <v>172</v>
      </c>
      <c r="L102" s="19" t="n">
        <v>2</v>
      </c>
      <c r="M102" s="19" t="s">
        <v>61</v>
      </c>
      <c r="N102" s="19" t="s">
        <v>153</v>
      </c>
      <c r="O102" s="19" t="s">
        <v>154</v>
      </c>
      <c r="P102" s="19" t="s">
        <v>155</v>
      </c>
      <c r="Q102" s="19" t="s">
        <v>167</v>
      </c>
      <c r="R102" s="19" t="s">
        <v>77</v>
      </c>
      <c r="S102" s="19" t="s">
        <v>69</v>
      </c>
      <c r="T102" s="19" t="s">
        <v>168</v>
      </c>
      <c r="U102" s="19" t="s">
        <v>89</v>
      </c>
      <c r="V102" s="19" t="s">
        <v>164</v>
      </c>
      <c r="W102" s="19" t="s">
        <v>165</v>
      </c>
      <c r="X102" s="19" t="s">
        <v>160</v>
      </c>
      <c r="Y102" s="19" t="s">
        <v>160</v>
      </c>
      <c r="Z102" s="19"/>
      <c r="AA102" s="19" t="s">
        <v>105</v>
      </c>
      <c r="AB102" s="19" t="s">
        <v>101</v>
      </c>
      <c r="AC102" s="19" t="str">
        <f aca="false">IF(H102="Punch","Entry",IF(OR(H102="Nexon",H102="Curvv"),"Compact","Premium"))</f>
        <v>Entry</v>
      </c>
      <c r="AD102" s="19" t="str">
        <f aca="false">IF(C102="18-25","Gen Z (18-25)",IF(C102="26-35","Young professionals (26-35)",IF(C102="36-45","Family builders (36-45)",IF(C102="46-55","Pre-retirement (46-55)","Seniors (55+)"))))</f>
        <v>Gen Z (18-25)</v>
      </c>
    </row>
    <row r="103" customFormat="false" ht="15" hidden="false" customHeight="false" outlineLevel="0" collapsed="false">
      <c r="A103" s="19" t="n">
        <v>102</v>
      </c>
      <c r="B103" s="19" t="s">
        <v>161</v>
      </c>
      <c r="C103" s="19" t="s">
        <v>33</v>
      </c>
      <c r="D103" s="19" t="n">
        <v>5</v>
      </c>
      <c r="E103" s="19" t="s">
        <v>182</v>
      </c>
      <c r="F103" s="19" t="s">
        <v>40</v>
      </c>
      <c r="G103" s="19" t="n">
        <v>2</v>
      </c>
      <c r="H103" s="19" t="s">
        <v>19</v>
      </c>
      <c r="I103" s="19" t="s">
        <v>53</v>
      </c>
      <c r="J103" s="19" t="s">
        <v>58</v>
      </c>
      <c r="K103" s="19" t="s">
        <v>172</v>
      </c>
      <c r="L103" s="19" t="n">
        <v>2</v>
      </c>
      <c r="M103" s="19" t="s">
        <v>61</v>
      </c>
      <c r="N103" s="19" t="s">
        <v>153</v>
      </c>
      <c r="O103" s="19" t="s">
        <v>154</v>
      </c>
      <c r="P103" s="19" t="s">
        <v>155</v>
      </c>
      <c r="Q103" s="19" t="s">
        <v>167</v>
      </c>
      <c r="R103" s="19" t="s">
        <v>76</v>
      </c>
      <c r="S103" s="19" t="s">
        <v>71</v>
      </c>
      <c r="T103" s="19" t="s">
        <v>180</v>
      </c>
      <c r="U103" s="19" t="s">
        <v>89</v>
      </c>
      <c r="V103" s="19" t="s">
        <v>164</v>
      </c>
      <c r="W103" s="19" t="s">
        <v>165</v>
      </c>
      <c r="X103" s="19" t="s">
        <v>160</v>
      </c>
      <c r="Y103" s="19" t="s">
        <v>160</v>
      </c>
      <c r="Z103" s="19"/>
      <c r="AA103" s="19" t="s">
        <v>100</v>
      </c>
      <c r="AB103" s="19" t="s">
        <v>101</v>
      </c>
      <c r="AC103" s="19" t="str">
        <f aca="false">IF(H103="Punch","Entry",IF(OR(H103="Nexon",H103="Curvv"),"Compact","Premium"))</f>
        <v>Compact</v>
      </c>
      <c r="AD103" s="19" t="str">
        <f aca="false">IF(C103="18-25","Gen Z (18-25)",IF(C103="26-35","Young professionals (26-35)",IF(C103="36-45","Family builders (36-45)",IF(C103="46-55","Pre-retirement (46-55)","Seniors (55+)"))))</f>
        <v>Seniors (55+)</v>
      </c>
    </row>
    <row r="104" customFormat="false" ht="15" hidden="false" customHeight="false" outlineLevel="0" collapsed="false">
      <c r="A104" s="19" t="n">
        <v>103</v>
      </c>
      <c r="B104" s="19" t="s">
        <v>149</v>
      </c>
      <c r="C104" s="19" t="s">
        <v>31</v>
      </c>
      <c r="D104" s="19" t="n">
        <v>3</v>
      </c>
      <c r="E104" s="19" t="s">
        <v>175</v>
      </c>
      <c r="F104" s="19" t="s">
        <v>40</v>
      </c>
      <c r="G104" s="19" t="n">
        <v>2</v>
      </c>
      <c r="H104" s="19" t="s">
        <v>20</v>
      </c>
      <c r="I104" s="19" t="s">
        <v>52</v>
      </c>
      <c r="J104" s="19" t="s">
        <v>151</v>
      </c>
      <c r="K104" s="19" t="s">
        <v>172</v>
      </c>
      <c r="L104" s="19" t="n">
        <v>2</v>
      </c>
      <c r="M104" s="19" t="s">
        <v>61</v>
      </c>
      <c r="N104" s="19" t="s">
        <v>153</v>
      </c>
      <c r="O104" s="19" t="s">
        <v>154</v>
      </c>
      <c r="P104" s="19" t="s">
        <v>155</v>
      </c>
      <c r="Q104" s="19" t="s">
        <v>167</v>
      </c>
      <c r="R104" s="19" t="s">
        <v>76</v>
      </c>
      <c r="S104" s="19" t="s">
        <v>69</v>
      </c>
      <c r="T104" s="19" t="s">
        <v>157</v>
      </c>
      <c r="U104" s="19" t="s">
        <v>89</v>
      </c>
      <c r="V104" s="19" t="s">
        <v>164</v>
      </c>
      <c r="W104" s="19" t="s">
        <v>165</v>
      </c>
      <c r="X104" s="19" t="s">
        <v>160</v>
      </c>
      <c r="Y104" s="19" t="s">
        <v>160</v>
      </c>
      <c r="Z104" s="19"/>
      <c r="AA104" s="19" t="s">
        <v>100</v>
      </c>
      <c r="AB104" s="19" t="s">
        <v>101</v>
      </c>
      <c r="AC104" s="19" t="str">
        <f aca="false">IF(H104="Punch","Entry",IF(OR(H104="Nexon",H104="Curvv"),"Compact","Premium"))</f>
        <v>Entry</v>
      </c>
      <c r="AD104" s="19" t="str">
        <f aca="false">IF(C104="18-25","Gen Z (18-25)",IF(C104="26-35","Young professionals (26-35)",IF(C104="36-45","Family builders (36-45)",IF(C104="46-55","Pre-retirement (46-55)","Seniors (55+)"))))</f>
        <v>Family builders (36-45)</v>
      </c>
    </row>
    <row r="105" customFormat="false" ht="15" hidden="false" customHeight="false" outlineLevel="0" collapsed="false">
      <c r="A105" s="19" t="n">
        <v>104</v>
      </c>
      <c r="B105" s="19" t="s">
        <v>149</v>
      </c>
      <c r="C105" s="19" t="s">
        <v>31</v>
      </c>
      <c r="D105" s="19" t="n">
        <v>3</v>
      </c>
      <c r="E105" s="19" t="s">
        <v>175</v>
      </c>
      <c r="F105" s="19" t="s">
        <v>41</v>
      </c>
      <c r="G105" s="19" t="n">
        <v>3</v>
      </c>
      <c r="H105" s="19" t="s">
        <v>20</v>
      </c>
      <c r="I105" s="19" t="s">
        <v>52</v>
      </c>
      <c r="J105" s="19" t="s">
        <v>151</v>
      </c>
      <c r="K105" s="19" t="s">
        <v>177</v>
      </c>
      <c r="L105" s="19" t="n">
        <v>3</v>
      </c>
      <c r="M105" s="19" t="s">
        <v>61</v>
      </c>
      <c r="N105" s="19" t="s">
        <v>153</v>
      </c>
      <c r="O105" s="19" t="s">
        <v>154</v>
      </c>
      <c r="P105" s="19" t="s">
        <v>155</v>
      </c>
      <c r="Q105" s="19" t="s">
        <v>156</v>
      </c>
      <c r="R105" s="19" t="s">
        <v>77</v>
      </c>
      <c r="S105" s="19" t="s">
        <v>69</v>
      </c>
      <c r="T105" s="19" t="s">
        <v>157</v>
      </c>
      <c r="U105" s="19" t="s">
        <v>89</v>
      </c>
      <c r="V105" s="19" t="s">
        <v>164</v>
      </c>
      <c r="W105" s="19" t="s">
        <v>165</v>
      </c>
      <c r="X105" s="19" t="s">
        <v>160</v>
      </c>
      <c r="Y105" s="19" t="s">
        <v>160</v>
      </c>
      <c r="Z105" s="19"/>
      <c r="AA105" s="19" t="s">
        <v>98</v>
      </c>
      <c r="AB105" s="19" t="s">
        <v>99</v>
      </c>
      <c r="AC105" s="19" t="str">
        <f aca="false">IF(H105="Punch","Entry",IF(OR(H105="Nexon",H105="Curvv"),"Compact","Premium"))</f>
        <v>Entry</v>
      </c>
      <c r="AD105" s="19" t="str">
        <f aca="false">IF(C105="18-25","Gen Z (18-25)",IF(C105="26-35","Young professionals (26-35)",IF(C105="36-45","Family builders (36-45)",IF(C105="46-55","Pre-retirement (46-55)","Seniors (55+)"))))</f>
        <v>Family builders (36-45)</v>
      </c>
    </row>
    <row r="106" customFormat="false" ht="15" hidden="false" customHeight="false" outlineLevel="0" collapsed="false">
      <c r="A106" s="19" t="n">
        <v>105</v>
      </c>
      <c r="B106" s="19" t="s">
        <v>161</v>
      </c>
      <c r="C106" s="19" t="s">
        <v>33</v>
      </c>
      <c r="D106" s="19" t="n">
        <v>5</v>
      </c>
      <c r="E106" s="19" t="s">
        <v>182</v>
      </c>
      <c r="F106" s="19" t="s">
        <v>41</v>
      </c>
      <c r="G106" s="19" t="n">
        <v>3</v>
      </c>
      <c r="H106" s="19" t="s">
        <v>19</v>
      </c>
      <c r="I106" s="19" t="s">
        <v>51</v>
      </c>
      <c r="J106" s="19" t="s">
        <v>58</v>
      </c>
      <c r="K106" s="19" t="s">
        <v>177</v>
      </c>
      <c r="L106" s="19" t="n">
        <v>3</v>
      </c>
      <c r="M106" s="19" t="s">
        <v>61</v>
      </c>
      <c r="N106" s="19" t="s">
        <v>153</v>
      </c>
      <c r="O106" s="19" t="s">
        <v>169</v>
      </c>
      <c r="P106" s="19" t="s">
        <v>170</v>
      </c>
      <c r="Q106" s="19" t="s">
        <v>171</v>
      </c>
      <c r="R106" s="19" t="s">
        <v>75</v>
      </c>
      <c r="S106" s="19" t="s">
        <v>69</v>
      </c>
      <c r="T106" s="19" t="s">
        <v>180</v>
      </c>
      <c r="U106" s="19" t="s">
        <v>90</v>
      </c>
      <c r="V106" s="19" t="s">
        <v>158</v>
      </c>
      <c r="W106" s="19" t="s">
        <v>159</v>
      </c>
      <c r="X106" s="19" t="s">
        <v>160</v>
      </c>
      <c r="Y106" s="19" t="s">
        <v>166</v>
      </c>
      <c r="Z106" s="19" t="s">
        <v>176</v>
      </c>
      <c r="AA106" s="19" t="s">
        <v>97</v>
      </c>
      <c r="AB106" s="19" t="s">
        <v>85</v>
      </c>
      <c r="AC106" s="19" t="str">
        <f aca="false">IF(H106="Punch","Entry",IF(OR(H106="Nexon",H106="Curvv"),"Compact","Premium"))</f>
        <v>Compact</v>
      </c>
      <c r="AD106" s="19" t="str">
        <f aca="false">IF(C106="18-25","Gen Z (18-25)",IF(C106="26-35","Young professionals (26-35)",IF(C106="36-45","Family builders (36-45)",IF(C106="46-55","Pre-retirement (46-55)","Seniors (55+)"))))</f>
        <v>Seniors (55+)</v>
      </c>
    </row>
    <row r="107" customFormat="false" ht="15" hidden="false" customHeight="false" outlineLevel="0" collapsed="false">
      <c r="A107" s="19" t="n">
        <v>106</v>
      </c>
      <c r="B107" s="19" t="s">
        <v>149</v>
      </c>
      <c r="C107" s="19" t="s">
        <v>29</v>
      </c>
      <c r="D107" s="19" t="n">
        <v>1</v>
      </c>
      <c r="E107" s="19" t="s">
        <v>150</v>
      </c>
      <c r="F107" s="19" t="s">
        <v>40</v>
      </c>
      <c r="G107" s="19" t="n">
        <v>2</v>
      </c>
      <c r="H107" s="19" t="s">
        <v>20</v>
      </c>
      <c r="I107" s="19" t="s">
        <v>52</v>
      </c>
      <c r="J107" s="19" t="s">
        <v>151</v>
      </c>
      <c r="K107" s="19" t="s">
        <v>172</v>
      </c>
      <c r="L107" s="19" t="n">
        <v>2</v>
      </c>
      <c r="M107" s="19" t="s">
        <v>61</v>
      </c>
      <c r="N107" s="19" t="s">
        <v>153</v>
      </c>
      <c r="O107" s="19" t="s">
        <v>154</v>
      </c>
      <c r="P107" s="19" t="s">
        <v>155</v>
      </c>
      <c r="Q107" s="19" t="s">
        <v>167</v>
      </c>
      <c r="R107" s="19" t="s">
        <v>75</v>
      </c>
      <c r="S107" s="19" t="s">
        <v>69</v>
      </c>
      <c r="T107" s="19" t="s">
        <v>157</v>
      </c>
      <c r="U107" s="19" t="s">
        <v>90</v>
      </c>
      <c r="V107" s="19" t="s">
        <v>158</v>
      </c>
      <c r="W107" s="19" t="s">
        <v>159</v>
      </c>
      <c r="X107" s="19" t="s">
        <v>160</v>
      </c>
      <c r="Y107" s="19" t="s">
        <v>160</v>
      </c>
      <c r="Z107" s="19"/>
      <c r="AA107" s="19" t="s">
        <v>103</v>
      </c>
      <c r="AB107" s="19" t="s">
        <v>99</v>
      </c>
      <c r="AC107" s="19" t="str">
        <f aca="false">IF(H107="Punch","Entry",IF(OR(H107="Nexon",H107="Curvv"),"Compact","Premium"))</f>
        <v>Entry</v>
      </c>
      <c r="AD107" s="19" t="str">
        <f aca="false">IF(C107="18-25","Gen Z (18-25)",IF(C107="26-35","Young professionals (26-35)",IF(C107="36-45","Family builders (36-45)",IF(C107="46-55","Pre-retirement (46-55)","Seniors (55+)"))))</f>
        <v>Gen Z (18-25)</v>
      </c>
    </row>
    <row r="108" customFormat="false" ht="15" hidden="false" customHeight="false" outlineLevel="0" collapsed="false">
      <c r="A108" s="19" t="n">
        <v>107</v>
      </c>
      <c r="B108" s="19" t="s">
        <v>161</v>
      </c>
      <c r="C108" s="19" t="s">
        <v>33</v>
      </c>
      <c r="D108" s="19" t="n">
        <v>5</v>
      </c>
      <c r="E108" s="19" t="s">
        <v>182</v>
      </c>
      <c r="F108" s="19" t="s">
        <v>41</v>
      </c>
      <c r="G108" s="19" t="n">
        <v>3</v>
      </c>
      <c r="H108" s="19" t="s">
        <v>21</v>
      </c>
      <c r="I108" s="19" t="s">
        <v>53</v>
      </c>
      <c r="J108" s="19" t="s">
        <v>58</v>
      </c>
      <c r="K108" s="19" t="s">
        <v>177</v>
      </c>
      <c r="L108" s="19" t="n">
        <v>3</v>
      </c>
      <c r="M108" s="19" t="s">
        <v>62</v>
      </c>
      <c r="N108" s="19" t="s">
        <v>153</v>
      </c>
      <c r="O108" s="19" t="s">
        <v>178</v>
      </c>
      <c r="P108" s="19" t="s">
        <v>179</v>
      </c>
      <c r="Q108" s="19" t="s">
        <v>156</v>
      </c>
      <c r="R108" s="19" t="s">
        <v>76</v>
      </c>
      <c r="S108" s="19" t="s">
        <v>71</v>
      </c>
      <c r="T108" s="19" t="s">
        <v>180</v>
      </c>
      <c r="U108" s="19" t="s">
        <v>89</v>
      </c>
      <c r="V108" s="19" t="s">
        <v>164</v>
      </c>
      <c r="W108" s="19" t="s">
        <v>165</v>
      </c>
      <c r="X108" s="19" t="s">
        <v>166</v>
      </c>
      <c r="Y108" s="19" t="s">
        <v>160</v>
      </c>
      <c r="Z108" s="19"/>
      <c r="AA108" s="19" t="s">
        <v>105</v>
      </c>
      <c r="AB108" s="19" t="s">
        <v>101</v>
      </c>
      <c r="AC108" s="19" t="str">
        <f aca="false">IF(H108="Punch","Entry",IF(OR(H108="Nexon",H108="Curvv"),"Compact","Premium"))</f>
        <v>Premium</v>
      </c>
      <c r="AD108" s="19" t="str">
        <f aca="false">IF(C108="18-25","Gen Z (18-25)",IF(C108="26-35","Young professionals (26-35)",IF(C108="36-45","Family builders (36-45)",IF(C108="46-55","Pre-retirement (46-55)","Seniors (55+)"))))</f>
        <v>Seniors (55+)</v>
      </c>
    </row>
    <row r="109" customFormat="false" ht="15" hidden="false" customHeight="false" outlineLevel="0" collapsed="false">
      <c r="A109" s="19" t="n">
        <v>108</v>
      </c>
      <c r="B109" s="19" t="s">
        <v>161</v>
      </c>
      <c r="C109" s="19" t="s">
        <v>33</v>
      </c>
      <c r="D109" s="19" t="n">
        <v>5</v>
      </c>
      <c r="E109" s="19" t="s">
        <v>182</v>
      </c>
      <c r="F109" s="19" t="s">
        <v>41</v>
      </c>
      <c r="G109" s="19" t="n">
        <v>3</v>
      </c>
      <c r="H109" s="19" t="s">
        <v>19</v>
      </c>
      <c r="I109" s="19" t="s">
        <v>52</v>
      </c>
      <c r="J109" s="19" t="s">
        <v>58</v>
      </c>
      <c r="K109" s="19" t="s">
        <v>177</v>
      </c>
      <c r="L109" s="19" t="n">
        <v>3</v>
      </c>
      <c r="M109" s="19" t="s">
        <v>61</v>
      </c>
      <c r="N109" s="19" t="s">
        <v>153</v>
      </c>
      <c r="O109" s="19" t="s">
        <v>154</v>
      </c>
      <c r="P109" s="19" t="s">
        <v>155</v>
      </c>
      <c r="Q109" s="19" t="s">
        <v>167</v>
      </c>
      <c r="R109" s="19" t="s">
        <v>75</v>
      </c>
      <c r="S109" s="19" t="s">
        <v>69</v>
      </c>
      <c r="T109" s="19" t="s">
        <v>157</v>
      </c>
      <c r="U109" s="19" t="s">
        <v>89</v>
      </c>
      <c r="V109" s="19" t="s">
        <v>164</v>
      </c>
      <c r="W109" s="19" t="s">
        <v>165</v>
      </c>
      <c r="X109" s="19" t="s">
        <v>160</v>
      </c>
      <c r="Y109" s="19" t="s">
        <v>160</v>
      </c>
      <c r="Z109" s="19"/>
      <c r="AA109" s="19" t="s">
        <v>98</v>
      </c>
      <c r="AB109" s="19" t="s">
        <v>99</v>
      </c>
      <c r="AC109" s="19" t="str">
        <f aca="false">IF(H109="Punch","Entry",IF(OR(H109="Nexon",H109="Curvv"),"Compact","Premium"))</f>
        <v>Compact</v>
      </c>
      <c r="AD109" s="19" t="str">
        <f aca="false">IF(C109="18-25","Gen Z (18-25)",IF(C109="26-35","Young professionals (26-35)",IF(C109="36-45","Family builders (36-45)",IF(C109="46-55","Pre-retirement (46-55)","Seniors (55+)"))))</f>
        <v>Seniors (55+)</v>
      </c>
    </row>
    <row r="110" customFormat="false" ht="15" hidden="false" customHeight="false" outlineLevel="0" collapsed="false">
      <c r="A110" s="19" t="n">
        <v>109</v>
      </c>
      <c r="B110" s="19" t="s">
        <v>161</v>
      </c>
      <c r="C110" s="19" t="s">
        <v>29</v>
      </c>
      <c r="D110" s="19" t="n">
        <v>1</v>
      </c>
      <c r="E110" s="19" t="s">
        <v>150</v>
      </c>
      <c r="F110" s="19" t="s">
        <v>41</v>
      </c>
      <c r="G110" s="19" t="n">
        <v>3</v>
      </c>
      <c r="H110" s="19" t="s">
        <v>20</v>
      </c>
      <c r="I110" s="19" t="s">
        <v>52</v>
      </c>
      <c r="J110" s="19" t="s">
        <v>151</v>
      </c>
      <c r="K110" s="19" t="s">
        <v>177</v>
      </c>
      <c r="L110" s="19" t="n">
        <v>3</v>
      </c>
      <c r="M110" s="19" t="s">
        <v>61</v>
      </c>
      <c r="N110" s="19" t="s">
        <v>153</v>
      </c>
      <c r="O110" s="19" t="s">
        <v>154</v>
      </c>
      <c r="P110" s="19" t="s">
        <v>155</v>
      </c>
      <c r="Q110" s="19" t="s">
        <v>156</v>
      </c>
      <c r="R110" s="19" t="s">
        <v>77</v>
      </c>
      <c r="S110" s="19" t="s">
        <v>69</v>
      </c>
      <c r="T110" s="19" t="s">
        <v>157</v>
      </c>
      <c r="U110" s="19" t="s">
        <v>89</v>
      </c>
      <c r="V110" s="19" t="s">
        <v>164</v>
      </c>
      <c r="W110" s="19" t="s">
        <v>165</v>
      </c>
      <c r="X110" s="19" t="s">
        <v>160</v>
      </c>
      <c r="Y110" s="19" t="s">
        <v>160</v>
      </c>
      <c r="Z110" s="19"/>
      <c r="AA110" s="19" t="s">
        <v>100</v>
      </c>
      <c r="AB110" s="19" t="s">
        <v>101</v>
      </c>
      <c r="AC110" s="19" t="str">
        <f aca="false">IF(H110="Punch","Entry",IF(OR(H110="Nexon",H110="Curvv"),"Compact","Premium"))</f>
        <v>Entry</v>
      </c>
      <c r="AD110" s="19" t="str">
        <f aca="false">IF(C110="18-25","Gen Z (18-25)",IF(C110="26-35","Young professionals (26-35)",IF(C110="36-45","Family builders (36-45)",IF(C110="46-55","Pre-retirement (46-55)","Seniors (55+)"))))</f>
        <v>Gen Z (18-25)</v>
      </c>
    </row>
    <row r="111" customFormat="false" ht="15" hidden="false" customHeight="false" outlineLevel="0" collapsed="false">
      <c r="A111" s="19" t="n">
        <v>110</v>
      </c>
      <c r="B111" s="19" t="s">
        <v>149</v>
      </c>
      <c r="C111" s="19" t="s">
        <v>30</v>
      </c>
      <c r="D111" s="19" t="n">
        <v>2</v>
      </c>
      <c r="E111" s="19" t="s">
        <v>150</v>
      </c>
      <c r="F111" s="19" t="s">
        <v>40</v>
      </c>
      <c r="G111" s="19" t="n">
        <v>2</v>
      </c>
      <c r="H111" s="19" t="s">
        <v>19</v>
      </c>
      <c r="I111" s="19" t="s">
        <v>51</v>
      </c>
      <c r="J111" s="19" t="s">
        <v>58</v>
      </c>
      <c r="K111" s="19" t="s">
        <v>177</v>
      </c>
      <c r="L111" s="19" t="n">
        <v>3</v>
      </c>
      <c r="M111" s="19" t="s">
        <v>61</v>
      </c>
      <c r="N111" s="19" t="s">
        <v>153</v>
      </c>
      <c r="O111" s="19" t="s">
        <v>169</v>
      </c>
      <c r="P111" s="19" t="s">
        <v>170</v>
      </c>
      <c r="Q111" s="19" t="s">
        <v>171</v>
      </c>
      <c r="R111" s="19" t="s">
        <v>77</v>
      </c>
      <c r="S111" s="19" t="s">
        <v>69</v>
      </c>
      <c r="T111" s="19" t="s">
        <v>168</v>
      </c>
      <c r="U111" s="19" t="s">
        <v>89</v>
      </c>
      <c r="V111" s="19" t="s">
        <v>164</v>
      </c>
      <c r="W111" s="19" t="s">
        <v>165</v>
      </c>
      <c r="X111" s="19" t="s">
        <v>160</v>
      </c>
      <c r="Y111" s="19" t="s">
        <v>160</v>
      </c>
      <c r="Z111" s="19"/>
      <c r="AA111" s="19" t="s">
        <v>98</v>
      </c>
      <c r="AB111" s="19" t="s">
        <v>99</v>
      </c>
      <c r="AC111" s="19" t="str">
        <f aca="false">IF(H111="Punch","Entry",IF(OR(H111="Nexon",H111="Curvv"),"Compact","Premium"))</f>
        <v>Compact</v>
      </c>
      <c r="AD111" s="19" t="str">
        <f aca="false">IF(C111="18-25","Gen Z (18-25)",IF(C111="26-35","Young professionals (26-35)",IF(C111="36-45","Family builders (36-45)",IF(C111="46-55","Pre-retirement (46-55)","Seniors (55+)"))))</f>
        <v>Young professionals (26-35)</v>
      </c>
    </row>
    <row r="112" customFormat="false" ht="15" hidden="false" customHeight="false" outlineLevel="0" collapsed="false">
      <c r="A112" s="19" t="n">
        <v>111</v>
      </c>
      <c r="B112" s="19" t="s">
        <v>161</v>
      </c>
      <c r="C112" s="19" t="s">
        <v>29</v>
      </c>
      <c r="D112" s="19" t="n">
        <v>1</v>
      </c>
      <c r="E112" s="19" t="s">
        <v>150</v>
      </c>
      <c r="F112" s="19" t="s">
        <v>40</v>
      </c>
      <c r="G112" s="19" t="n">
        <v>2</v>
      </c>
      <c r="H112" s="19" t="s">
        <v>21</v>
      </c>
      <c r="I112" s="19" t="s">
        <v>52</v>
      </c>
      <c r="J112" s="19" t="s">
        <v>58</v>
      </c>
      <c r="K112" s="19" t="s">
        <v>172</v>
      </c>
      <c r="L112" s="19" t="n">
        <v>2</v>
      </c>
      <c r="M112" s="19" t="s">
        <v>62</v>
      </c>
      <c r="N112" s="19" t="s">
        <v>153</v>
      </c>
      <c r="O112" s="19" t="s">
        <v>178</v>
      </c>
      <c r="P112" s="19" t="s">
        <v>179</v>
      </c>
      <c r="Q112" s="19" t="s">
        <v>156</v>
      </c>
      <c r="R112" s="19" t="s">
        <v>76</v>
      </c>
      <c r="S112" s="19" t="s">
        <v>69</v>
      </c>
      <c r="T112" s="19" t="s">
        <v>157</v>
      </c>
      <c r="U112" s="19" t="s">
        <v>89</v>
      </c>
      <c r="V112" s="19" t="s">
        <v>164</v>
      </c>
      <c r="W112" s="19" t="s">
        <v>165</v>
      </c>
      <c r="X112" s="19" t="s">
        <v>166</v>
      </c>
      <c r="Y112" s="19" t="s">
        <v>160</v>
      </c>
      <c r="Z112" s="19"/>
      <c r="AA112" s="19" t="s">
        <v>100</v>
      </c>
      <c r="AB112" s="19" t="s">
        <v>101</v>
      </c>
      <c r="AC112" s="19" t="str">
        <f aca="false">IF(H112="Punch","Entry",IF(OR(H112="Nexon",H112="Curvv"),"Compact","Premium"))</f>
        <v>Premium</v>
      </c>
      <c r="AD112" s="19" t="str">
        <f aca="false">IF(C112="18-25","Gen Z (18-25)",IF(C112="26-35","Young professionals (26-35)",IF(C112="36-45","Family builders (36-45)",IF(C112="46-55","Pre-retirement (46-55)","Seniors (55+)"))))</f>
        <v>Gen Z (18-25)</v>
      </c>
    </row>
    <row r="113" customFormat="false" ht="15" hidden="false" customHeight="false" outlineLevel="0" collapsed="false">
      <c r="A113" s="19" t="n">
        <v>112</v>
      </c>
      <c r="B113" s="19" t="s">
        <v>161</v>
      </c>
      <c r="C113" s="19" t="s">
        <v>29</v>
      </c>
      <c r="D113" s="19" t="n">
        <v>1</v>
      </c>
      <c r="E113" s="19" t="s">
        <v>150</v>
      </c>
      <c r="F113" s="19" t="s">
        <v>41</v>
      </c>
      <c r="G113" s="19" t="n">
        <v>3</v>
      </c>
      <c r="H113" s="19" t="s">
        <v>22</v>
      </c>
      <c r="I113" s="19" t="s">
        <v>54</v>
      </c>
      <c r="J113" s="19" t="s">
        <v>58</v>
      </c>
      <c r="K113" s="19" t="s">
        <v>177</v>
      </c>
      <c r="L113" s="19" t="n">
        <v>3</v>
      </c>
      <c r="M113" s="19" t="s">
        <v>61</v>
      </c>
      <c r="N113" s="19" t="s">
        <v>153</v>
      </c>
      <c r="O113" s="19" t="s">
        <v>169</v>
      </c>
      <c r="P113" s="19" t="s">
        <v>179</v>
      </c>
      <c r="Q113" s="19" t="s">
        <v>156</v>
      </c>
      <c r="R113" s="19" t="s">
        <v>76</v>
      </c>
      <c r="S113" s="19" t="s">
        <v>69</v>
      </c>
      <c r="T113" s="19" t="s">
        <v>168</v>
      </c>
      <c r="U113" s="19" t="s">
        <v>89</v>
      </c>
      <c r="V113" s="19" t="s">
        <v>164</v>
      </c>
      <c r="W113" s="19" t="s">
        <v>165</v>
      </c>
      <c r="X113" s="19" t="s">
        <v>166</v>
      </c>
      <c r="Y113" s="19" t="s">
        <v>160</v>
      </c>
      <c r="Z113" s="19"/>
      <c r="AA113" s="19" t="s">
        <v>100</v>
      </c>
      <c r="AB113" s="19" t="s">
        <v>101</v>
      </c>
      <c r="AC113" s="19" t="str">
        <f aca="false">IF(H113="Punch","Entry",IF(OR(H113="Nexon",H113="Curvv"),"Compact","Premium"))</f>
        <v>Compact</v>
      </c>
      <c r="AD113" s="19" t="str">
        <f aca="false">IF(C113="18-25","Gen Z (18-25)",IF(C113="26-35","Young professionals (26-35)",IF(C113="36-45","Family builders (36-45)",IF(C113="46-55","Pre-retirement (46-55)","Seniors (55+)"))))</f>
        <v>Gen Z (18-25)</v>
      </c>
    </row>
    <row r="114" customFormat="false" ht="15" hidden="false" customHeight="false" outlineLevel="0" collapsed="false">
      <c r="A114" s="19" t="n">
        <v>113</v>
      </c>
      <c r="B114" s="19" t="s">
        <v>161</v>
      </c>
      <c r="C114" s="19" t="s">
        <v>33</v>
      </c>
      <c r="D114" s="19" t="n">
        <v>5</v>
      </c>
      <c r="E114" s="19" t="s">
        <v>182</v>
      </c>
      <c r="F114" s="19" t="s">
        <v>41</v>
      </c>
      <c r="G114" s="19" t="n">
        <v>3</v>
      </c>
      <c r="H114" s="19" t="s">
        <v>21</v>
      </c>
      <c r="I114" s="19" t="s">
        <v>53</v>
      </c>
      <c r="J114" s="19" t="s">
        <v>58</v>
      </c>
      <c r="K114" s="19" t="s">
        <v>177</v>
      </c>
      <c r="L114" s="19" t="n">
        <v>3</v>
      </c>
      <c r="M114" s="19" t="s">
        <v>62</v>
      </c>
      <c r="N114" s="19" t="s">
        <v>153</v>
      </c>
      <c r="O114" s="19" t="s">
        <v>178</v>
      </c>
      <c r="P114" s="19" t="s">
        <v>179</v>
      </c>
      <c r="Q114" s="19" t="s">
        <v>181</v>
      </c>
      <c r="R114" s="19" t="s">
        <v>75</v>
      </c>
      <c r="S114" s="19" t="s">
        <v>71</v>
      </c>
      <c r="T114" s="19" t="s">
        <v>180</v>
      </c>
      <c r="U114" s="19" t="s">
        <v>89</v>
      </c>
      <c r="V114" s="19" t="s">
        <v>164</v>
      </c>
      <c r="W114" s="19" t="s">
        <v>165</v>
      </c>
      <c r="X114" s="19" t="s">
        <v>166</v>
      </c>
      <c r="Y114" s="19" t="s">
        <v>160</v>
      </c>
      <c r="Z114" s="19"/>
      <c r="AA114" s="19" t="s">
        <v>105</v>
      </c>
      <c r="AB114" s="19" t="s">
        <v>101</v>
      </c>
      <c r="AC114" s="19" t="str">
        <f aca="false">IF(H114="Punch","Entry",IF(OR(H114="Nexon",H114="Curvv"),"Compact","Premium"))</f>
        <v>Premium</v>
      </c>
      <c r="AD114" s="19" t="str">
        <f aca="false">IF(C114="18-25","Gen Z (18-25)",IF(C114="26-35","Young professionals (26-35)",IF(C114="36-45","Family builders (36-45)",IF(C114="46-55","Pre-retirement (46-55)","Seniors (55+)"))))</f>
        <v>Seniors (55+)</v>
      </c>
    </row>
    <row r="115" customFormat="false" ht="15" hidden="false" customHeight="false" outlineLevel="0" collapsed="false">
      <c r="A115" s="19" t="n">
        <v>114</v>
      </c>
      <c r="B115" s="19" t="s">
        <v>161</v>
      </c>
      <c r="C115" s="19" t="s">
        <v>29</v>
      </c>
      <c r="D115" s="19" t="n">
        <v>1</v>
      </c>
      <c r="E115" s="19" t="s">
        <v>150</v>
      </c>
      <c r="F115" s="19" t="s">
        <v>40</v>
      </c>
      <c r="G115" s="19" t="n">
        <v>2</v>
      </c>
      <c r="H115" s="19" t="s">
        <v>20</v>
      </c>
      <c r="I115" s="19" t="s">
        <v>52</v>
      </c>
      <c r="J115" s="19" t="s">
        <v>151</v>
      </c>
      <c r="K115" s="19" t="s">
        <v>172</v>
      </c>
      <c r="L115" s="19" t="n">
        <v>2</v>
      </c>
      <c r="M115" s="19" t="s">
        <v>61</v>
      </c>
      <c r="N115" s="19" t="s">
        <v>153</v>
      </c>
      <c r="O115" s="19" t="s">
        <v>154</v>
      </c>
      <c r="P115" s="19" t="s">
        <v>155</v>
      </c>
      <c r="Q115" s="19" t="s">
        <v>156</v>
      </c>
      <c r="R115" s="19" t="s">
        <v>77</v>
      </c>
      <c r="S115" s="19" t="s">
        <v>69</v>
      </c>
      <c r="T115" s="19" t="s">
        <v>157</v>
      </c>
      <c r="U115" s="19" t="s">
        <v>89</v>
      </c>
      <c r="V115" s="19" t="s">
        <v>164</v>
      </c>
      <c r="W115" s="19" t="s">
        <v>165</v>
      </c>
      <c r="X115" s="19" t="s">
        <v>160</v>
      </c>
      <c r="Y115" s="19" t="s">
        <v>160</v>
      </c>
      <c r="Z115" s="19"/>
      <c r="AA115" s="19" t="s">
        <v>105</v>
      </c>
      <c r="AB115" s="19" t="s">
        <v>101</v>
      </c>
      <c r="AC115" s="19" t="str">
        <f aca="false">IF(H115="Punch","Entry",IF(OR(H115="Nexon",H115="Curvv"),"Compact","Premium"))</f>
        <v>Entry</v>
      </c>
      <c r="AD115" s="19" t="str">
        <f aca="false">IF(C115="18-25","Gen Z (18-25)",IF(C115="26-35","Young professionals (26-35)",IF(C115="36-45","Family builders (36-45)",IF(C115="46-55","Pre-retirement (46-55)","Seniors (55+)"))))</f>
        <v>Gen Z (18-25)</v>
      </c>
    </row>
    <row r="116" customFormat="false" ht="15" hidden="false" customHeight="false" outlineLevel="0" collapsed="false">
      <c r="A116" s="19" t="n">
        <v>115</v>
      </c>
      <c r="B116" s="19" t="s">
        <v>161</v>
      </c>
      <c r="C116" s="19" t="s">
        <v>30</v>
      </c>
      <c r="D116" s="19" t="n">
        <v>2</v>
      </c>
      <c r="E116" s="19" t="s">
        <v>150</v>
      </c>
      <c r="F116" s="19" t="s">
        <v>40</v>
      </c>
      <c r="G116" s="19" t="n">
        <v>2</v>
      </c>
      <c r="H116" s="19" t="s">
        <v>20</v>
      </c>
      <c r="I116" s="19" t="s">
        <v>51</v>
      </c>
      <c r="J116" s="19" t="s">
        <v>151</v>
      </c>
      <c r="K116" s="19" t="s">
        <v>172</v>
      </c>
      <c r="L116" s="19" t="n">
        <v>2</v>
      </c>
      <c r="M116" s="19" t="s">
        <v>61</v>
      </c>
      <c r="N116" s="19" t="s">
        <v>153</v>
      </c>
      <c r="O116" s="19" t="s">
        <v>169</v>
      </c>
      <c r="P116" s="19" t="s">
        <v>170</v>
      </c>
      <c r="Q116" s="19" t="s">
        <v>171</v>
      </c>
      <c r="R116" s="19" t="s">
        <v>77</v>
      </c>
      <c r="S116" s="19" t="s">
        <v>69</v>
      </c>
      <c r="T116" s="19" t="s">
        <v>168</v>
      </c>
      <c r="U116" s="19" t="s">
        <v>89</v>
      </c>
      <c r="V116" s="19" t="s">
        <v>164</v>
      </c>
      <c r="W116" s="19" t="s">
        <v>165</v>
      </c>
      <c r="X116" s="19" t="s">
        <v>160</v>
      </c>
      <c r="Y116" s="19" t="s">
        <v>160</v>
      </c>
      <c r="Z116" s="19"/>
      <c r="AA116" s="19" t="s">
        <v>98</v>
      </c>
      <c r="AB116" s="19" t="s">
        <v>99</v>
      </c>
      <c r="AC116" s="19" t="str">
        <f aca="false">IF(H116="Punch","Entry",IF(OR(H116="Nexon",H116="Curvv"),"Compact","Premium"))</f>
        <v>Entry</v>
      </c>
      <c r="AD116" s="19" t="str">
        <f aca="false">IF(C116="18-25","Gen Z (18-25)",IF(C116="26-35","Young professionals (26-35)",IF(C116="36-45","Family builders (36-45)",IF(C116="46-55","Pre-retirement (46-55)","Seniors (55+)"))))</f>
        <v>Young professionals (26-35)</v>
      </c>
    </row>
    <row r="117" customFormat="false" ht="15" hidden="false" customHeight="false" outlineLevel="0" collapsed="false">
      <c r="A117" s="19" t="n">
        <v>116</v>
      </c>
      <c r="B117" s="19" t="s">
        <v>161</v>
      </c>
      <c r="C117" s="19" t="s">
        <v>31</v>
      </c>
      <c r="D117" s="19" t="n">
        <v>3</v>
      </c>
      <c r="E117" s="19" t="s">
        <v>175</v>
      </c>
      <c r="F117" s="19" t="s">
        <v>40</v>
      </c>
      <c r="G117" s="19" t="n">
        <v>2</v>
      </c>
      <c r="H117" s="19" t="s">
        <v>21</v>
      </c>
      <c r="I117" s="19" t="s">
        <v>52</v>
      </c>
      <c r="J117" s="19" t="s">
        <v>151</v>
      </c>
      <c r="K117" s="19" t="s">
        <v>172</v>
      </c>
      <c r="L117" s="19" t="n">
        <v>2</v>
      </c>
      <c r="M117" s="19" t="s">
        <v>62</v>
      </c>
      <c r="N117" s="19" t="s">
        <v>153</v>
      </c>
      <c r="O117" s="19" t="s">
        <v>178</v>
      </c>
      <c r="P117" s="19" t="s">
        <v>179</v>
      </c>
      <c r="Q117" s="19" t="s">
        <v>156</v>
      </c>
      <c r="R117" s="19" t="s">
        <v>77</v>
      </c>
      <c r="S117" s="19" t="s">
        <v>69</v>
      </c>
      <c r="T117" s="19" t="s">
        <v>157</v>
      </c>
      <c r="U117" s="19" t="s">
        <v>89</v>
      </c>
      <c r="V117" s="19" t="s">
        <v>164</v>
      </c>
      <c r="W117" s="19" t="s">
        <v>165</v>
      </c>
      <c r="X117" s="19" t="s">
        <v>166</v>
      </c>
      <c r="Y117" s="19" t="s">
        <v>160</v>
      </c>
      <c r="Z117" s="19"/>
      <c r="AA117" s="19" t="s">
        <v>100</v>
      </c>
      <c r="AB117" s="19" t="s">
        <v>101</v>
      </c>
      <c r="AC117" s="19" t="str">
        <f aca="false">IF(H117="Punch","Entry",IF(OR(H117="Nexon",H117="Curvv"),"Compact","Premium"))</f>
        <v>Premium</v>
      </c>
      <c r="AD117" s="19" t="str">
        <f aca="false">IF(C117="18-25","Gen Z (18-25)",IF(C117="26-35","Young professionals (26-35)",IF(C117="36-45","Family builders (36-45)",IF(C117="46-55","Pre-retirement (46-55)","Seniors (55+)"))))</f>
        <v>Family builders (36-45)</v>
      </c>
    </row>
    <row r="118" customFormat="false" ht="15" hidden="false" customHeight="false" outlineLevel="0" collapsed="false">
      <c r="A118" s="19" t="n">
        <v>117</v>
      </c>
      <c r="B118" s="19" t="s">
        <v>161</v>
      </c>
      <c r="C118" s="19" t="s">
        <v>33</v>
      </c>
      <c r="D118" s="19" t="n">
        <v>5</v>
      </c>
      <c r="E118" s="19" t="s">
        <v>182</v>
      </c>
      <c r="F118" s="19" t="s">
        <v>41</v>
      </c>
      <c r="G118" s="19" t="n">
        <v>3</v>
      </c>
      <c r="H118" s="19" t="s">
        <v>22</v>
      </c>
      <c r="I118" s="19" t="s">
        <v>51</v>
      </c>
      <c r="J118" s="19" t="s">
        <v>58</v>
      </c>
      <c r="K118" s="19" t="s">
        <v>177</v>
      </c>
      <c r="L118" s="19" t="n">
        <v>3</v>
      </c>
      <c r="M118" s="19" t="s">
        <v>61</v>
      </c>
      <c r="N118" s="19" t="s">
        <v>153</v>
      </c>
      <c r="O118" s="19" t="s">
        <v>169</v>
      </c>
      <c r="P118" s="19" t="s">
        <v>170</v>
      </c>
      <c r="Q118" s="19" t="s">
        <v>171</v>
      </c>
      <c r="R118" s="19" t="s">
        <v>75</v>
      </c>
      <c r="S118" s="19" t="s">
        <v>69</v>
      </c>
      <c r="T118" s="19" t="s">
        <v>180</v>
      </c>
      <c r="U118" s="19" t="s">
        <v>89</v>
      </c>
      <c r="V118" s="19" t="s">
        <v>164</v>
      </c>
      <c r="W118" s="19" t="s">
        <v>165</v>
      </c>
      <c r="X118" s="19" t="s">
        <v>166</v>
      </c>
      <c r="Y118" s="19" t="s">
        <v>160</v>
      </c>
      <c r="Z118" s="19"/>
      <c r="AA118" s="19" t="s">
        <v>105</v>
      </c>
      <c r="AB118" s="19" t="s">
        <v>101</v>
      </c>
      <c r="AC118" s="19" t="str">
        <f aca="false">IF(H118="Punch","Entry",IF(OR(H118="Nexon",H118="Curvv"),"Compact","Premium"))</f>
        <v>Compact</v>
      </c>
      <c r="AD118" s="19" t="str">
        <f aca="false">IF(C118="18-25","Gen Z (18-25)",IF(C118="26-35","Young professionals (26-35)",IF(C118="36-45","Family builders (36-45)",IF(C118="46-55","Pre-retirement (46-55)","Seniors (55+)"))))</f>
        <v>Seniors (55+)</v>
      </c>
    </row>
    <row r="119" customFormat="false" ht="15" hidden="false" customHeight="false" outlineLevel="0" collapsed="false">
      <c r="A119" s="19" t="n">
        <v>118</v>
      </c>
      <c r="B119" s="19" t="s">
        <v>161</v>
      </c>
      <c r="C119" s="19" t="s">
        <v>33</v>
      </c>
      <c r="D119" s="19" t="n">
        <v>5</v>
      </c>
      <c r="E119" s="19" t="s">
        <v>182</v>
      </c>
      <c r="F119" s="19" t="s">
        <v>41</v>
      </c>
      <c r="G119" s="19" t="n">
        <v>3</v>
      </c>
      <c r="H119" s="19" t="s">
        <v>22</v>
      </c>
      <c r="I119" s="19" t="s">
        <v>51</v>
      </c>
      <c r="J119" s="19" t="s">
        <v>58</v>
      </c>
      <c r="K119" s="19" t="s">
        <v>177</v>
      </c>
      <c r="L119" s="19" t="n">
        <v>3</v>
      </c>
      <c r="M119" s="19" t="s">
        <v>61</v>
      </c>
      <c r="N119" s="19" t="s">
        <v>153</v>
      </c>
      <c r="O119" s="19" t="s">
        <v>169</v>
      </c>
      <c r="P119" s="19" t="s">
        <v>170</v>
      </c>
      <c r="Q119" s="19" t="s">
        <v>171</v>
      </c>
      <c r="R119" s="19" t="s">
        <v>75</v>
      </c>
      <c r="S119" s="19" t="s">
        <v>69</v>
      </c>
      <c r="T119" s="19" t="s">
        <v>180</v>
      </c>
      <c r="U119" s="19" t="s">
        <v>89</v>
      </c>
      <c r="V119" s="19" t="s">
        <v>164</v>
      </c>
      <c r="W119" s="19" t="s">
        <v>165</v>
      </c>
      <c r="X119" s="19" t="s">
        <v>166</v>
      </c>
      <c r="Y119" s="19" t="s">
        <v>160</v>
      </c>
      <c r="Z119" s="19"/>
      <c r="AA119" s="19" t="s">
        <v>100</v>
      </c>
      <c r="AB119" s="19" t="s">
        <v>101</v>
      </c>
      <c r="AC119" s="19" t="str">
        <f aca="false">IF(H119="Punch","Entry",IF(OR(H119="Nexon",H119="Curvv"),"Compact","Premium"))</f>
        <v>Compact</v>
      </c>
      <c r="AD119" s="19" t="str">
        <f aca="false">IF(C119="18-25","Gen Z (18-25)",IF(C119="26-35","Young professionals (26-35)",IF(C119="36-45","Family builders (36-45)",IF(C119="46-55","Pre-retirement (46-55)","Seniors (55+)"))))</f>
        <v>Seniors (55+)</v>
      </c>
    </row>
    <row r="120" customFormat="false" ht="15" hidden="false" customHeight="false" outlineLevel="0" collapsed="false">
      <c r="A120" s="19" t="n">
        <v>119</v>
      </c>
      <c r="B120" s="19" t="s">
        <v>161</v>
      </c>
      <c r="C120" s="19" t="s">
        <v>30</v>
      </c>
      <c r="D120" s="19" t="n">
        <v>2</v>
      </c>
      <c r="E120" s="19" t="s">
        <v>150</v>
      </c>
      <c r="F120" s="19" t="s">
        <v>41</v>
      </c>
      <c r="G120" s="19" t="n">
        <v>3</v>
      </c>
      <c r="H120" s="19" t="s">
        <v>20</v>
      </c>
      <c r="I120" s="19" t="s">
        <v>53</v>
      </c>
      <c r="J120" s="19" t="s">
        <v>151</v>
      </c>
      <c r="K120" s="19" t="s">
        <v>177</v>
      </c>
      <c r="L120" s="19" t="n">
        <v>3</v>
      </c>
      <c r="M120" s="19" t="s">
        <v>61</v>
      </c>
      <c r="N120" s="19" t="s">
        <v>153</v>
      </c>
      <c r="O120" s="19" t="s">
        <v>154</v>
      </c>
      <c r="P120" s="19" t="s">
        <v>155</v>
      </c>
      <c r="Q120" s="19" t="s">
        <v>156</v>
      </c>
      <c r="R120" s="19" t="s">
        <v>76</v>
      </c>
      <c r="S120" s="19" t="s">
        <v>69</v>
      </c>
      <c r="T120" s="19" t="s">
        <v>168</v>
      </c>
      <c r="U120" s="19" t="s">
        <v>89</v>
      </c>
      <c r="V120" s="19" t="s">
        <v>164</v>
      </c>
      <c r="W120" s="19" t="s">
        <v>165</v>
      </c>
      <c r="X120" s="19" t="s">
        <v>160</v>
      </c>
      <c r="Y120" s="19" t="s">
        <v>160</v>
      </c>
      <c r="Z120" s="19"/>
      <c r="AA120" s="19" t="s">
        <v>100</v>
      </c>
      <c r="AB120" s="19" t="s">
        <v>101</v>
      </c>
      <c r="AC120" s="19" t="str">
        <f aca="false">IF(H120="Punch","Entry",IF(OR(H120="Nexon",H120="Curvv"),"Compact","Premium"))</f>
        <v>Entry</v>
      </c>
      <c r="AD120" s="19" t="str">
        <f aca="false">IF(C120="18-25","Gen Z (18-25)",IF(C120="26-35","Young professionals (26-35)",IF(C120="36-45","Family builders (36-45)",IF(C120="46-55","Pre-retirement (46-55)","Seniors (55+)"))))</f>
        <v>Young professionals (26-35)</v>
      </c>
    </row>
    <row r="121" customFormat="false" ht="15" hidden="false" customHeight="false" outlineLevel="0" collapsed="false">
      <c r="A121" s="19" t="n">
        <v>120</v>
      </c>
      <c r="B121" s="19" t="s">
        <v>161</v>
      </c>
      <c r="C121" s="19" t="s">
        <v>29</v>
      </c>
      <c r="D121" s="19" t="n">
        <v>1</v>
      </c>
      <c r="E121" s="19" t="s">
        <v>150</v>
      </c>
      <c r="F121" s="19" t="s">
        <v>40</v>
      </c>
      <c r="G121" s="19" t="n">
        <v>2</v>
      </c>
      <c r="H121" s="19" t="s">
        <v>20</v>
      </c>
      <c r="I121" s="19" t="s">
        <v>52</v>
      </c>
      <c r="J121" s="19" t="s">
        <v>151</v>
      </c>
      <c r="K121" s="19" t="s">
        <v>172</v>
      </c>
      <c r="L121" s="19" t="n">
        <v>2</v>
      </c>
      <c r="M121" s="19" t="s">
        <v>61</v>
      </c>
      <c r="N121" s="19" t="s">
        <v>153</v>
      </c>
      <c r="O121" s="19" t="s">
        <v>154</v>
      </c>
      <c r="P121" s="19" t="s">
        <v>155</v>
      </c>
      <c r="Q121" s="19" t="s">
        <v>167</v>
      </c>
      <c r="R121" s="19" t="s">
        <v>76</v>
      </c>
      <c r="S121" s="19" t="s">
        <v>69</v>
      </c>
      <c r="T121" s="19" t="s">
        <v>157</v>
      </c>
      <c r="U121" s="19" t="s">
        <v>89</v>
      </c>
      <c r="V121" s="19" t="s">
        <v>164</v>
      </c>
      <c r="W121" s="19" t="s">
        <v>165</v>
      </c>
      <c r="X121" s="19" t="s">
        <v>160</v>
      </c>
      <c r="Y121" s="19" t="s">
        <v>160</v>
      </c>
      <c r="Z121" s="19"/>
      <c r="AA121" s="19" t="s">
        <v>105</v>
      </c>
      <c r="AB121" s="19" t="s">
        <v>101</v>
      </c>
      <c r="AC121" s="19" t="str">
        <f aca="false">IF(H121="Punch","Entry",IF(OR(H121="Nexon",H121="Curvv"),"Compact","Premium"))</f>
        <v>Entry</v>
      </c>
      <c r="AD121" s="19" t="str">
        <f aca="false">IF(C121="18-25","Gen Z (18-25)",IF(C121="26-35","Young professionals (26-35)",IF(C121="36-45","Family builders (36-45)",IF(C121="46-55","Pre-retirement (46-55)","Seniors (55+)"))))</f>
        <v>Gen Z (18-25)</v>
      </c>
    </row>
    <row r="122" customFormat="false" ht="15" hidden="false" customHeight="false" outlineLevel="0" collapsed="false">
      <c r="A122" s="19" t="n">
        <v>121</v>
      </c>
      <c r="B122" s="19" t="s">
        <v>161</v>
      </c>
      <c r="C122" s="19" t="s">
        <v>30</v>
      </c>
      <c r="D122" s="19" t="n">
        <v>2</v>
      </c>
      <c r="E122" s="19" t="s">
        <v>150</v>
      </c>
      <c r="F122" s="19" t="s">
        <v>41</v>
      </c>
      <c r="G122" s="19" t="n">
        <v>3</v>
      </c>
      <c r="H122" s="19" t="s">
        <v>19</v>
      </c>
      <c r="I122" s="19" t="s">
        <v>51</v>
      </c>
      <c r="J122" s="19" t="s">
        <v>151</v>
      </c>
      <c r="K122" s="19" t="s">
        <v>177</v>
      </c>
      <c r="L122" s="19" t="n">
        <v>3</v>
      </c>
      <c r="M122" s="19" t="s">
        <v>61</v>
      </c>
      <c r="N122" s="19" t="s">
        <v>153</v>
      </c>
      <c r="O122" s="19" t="s">
        <v>169</v>
      </c>
      <c r="P122" s="19" t="s">
        <v>170</v>
      </c>
      <c r="Q122" s="19" t="s">
        <v>171</v>
      </c>
      <c r="R122" s="19" t="s">
        <v>77</v>
      </c>
      <c r="S122" s="19" t="s">
        <v>69</v>
      </c>
      <c r="T122" s="19" t="s">
        <v>157</v>
      </c>
      <c r="U122" s="19" t="s">
        <v>89</v>
      </c>
      <c r="V122" s="19" t="s">
        <v>164</v>
      </c>
      <c r="W122" s="19" t="s">
        <v>165</v>
      </c>
      <c r="X122" s="19" t="s">
        <v>160</v>
      </c>
      <c r="Y122" s="19" t="s">
        <v>160</v>
      </c>
      <c r="Z122" s="19"/>
      <c r="AA122" s="19" t="s">
        <v>105</v>
      </c>
      <c r="AB122" s="19" t="s">
        <v>101</v>
      </c>
      <c r="AC122" s="19" t="str">
        <f aca="false">IF(H122="Punch","Entry",IF(OR(H122="Nexon",H122="Curvv"),"Compact","Premium"))</f>
        <v>Compact</v>
      </c>
      <c r="AD122" s="19" t="str">
        <f aca="false">IF(C122="18-25","Gen Z (18-25)",IF(C122="26-35","Young professionals (26-35)",IF(C122="36-45","Family builders (36-45)",IF(C122="46-55","Pre-retirement (46-55)","Seniors (55+)"))))</f>
        <v>Young professionals (26-35)</v>
      </c>
    </row>
    <row r="123" customFormat="false" ht="15" hidden="false" customHeight="false" outlineLevel="0" collapsed="false">
      <c r="A123" s="19" t="n">
        <v>122</v>
      </c>
      <c r="B123" s="19" t="s">
        <v>161</v>
      </c>
      <c r="C123" s="19" t="s">
        <v>33</v>
      </c>
      <c r="D123" s="19" t="n">
        <v>5</v>
      </c>
      <c r="E123" s="19" t="s">
        <v>182</v>
      </c>
      <c r="F123" s="19" t="s">
        <v>41</v>
      </c>
      <c r="G123" s="19" t="n">
        <v>3</v>
      </c>
      <c r="H123" s="19" t="s">
        <v>19</v>
      </c>
      <c r="I123" s="19" t="s">
        <v>51</v>
      </c>
      <c r="J123" s="19" t="s">
        <v>151</v>
      </c>
      <c r="K123" s="19" t="s">
        <v>177</v>
      </c>
      <c r="L123" s="19" t="n">
        <v>3</v>
      </c>
      <c r="M123" s="19" t="s">
        <v>61</v>
      </c>
      <c r="N123" s="19" t="s">
        <v>153</v>
      </c>
      <c r="O123" s="19" t="s">
        <v>169</v>
      </c>
      <c r="P123" s="19" t="s">
        <v>170</v>
      </c>
      <c r="Q123" s="19" t="s">
        <v>171</v>
      </c>
      <c r="R123" s="19" t="s">
        <v>76</v>
      </c>
      <c r="S123" s="19" t="s">
        <v>71</v>
      </c>
      <c r="T123" s="19" t="s">
        <v>180</v>
      </c>
      <c r="U123" s="19" t="s">
        <v>89</v>
      </c>
      <c r="V123" s="19" t="s">
        <v>164</v>
      </c>
      <c r="W123" s="19" t="s">
        <v>165</v>
      </c>
      <c r="X123" s="19" t="s">
        <v>160</v>
      </c>
      <c r="Y123" s="19" t="s">
        <v>160</v>
      </c>
      <c r="Z123" s="19"/>
      <c r="AA123" s="19" t="s">
        <v>98</v>
      </c>
      <c r="AB123" s="19" t="s">
        <v>99</v>
      </c>
      <c r="AC123" s="19" t="str">
        <f aca="false">IF(H123="Punch","Entry",IF(OR(H123="Nexon",H123="Curvv"),"Compact","Premium"))</f>
        <v>Compact</v>
      </c>
      <c r="AD123" s="19" t="str">
        <f aca="false">IF(C123="18-25","Gen Z (18-25)",IF(C123="26-35","Young professionals (26-35)",IF(C123="36-45","Family builders (36-45)",IF(C123="46-55","Pre-retirement (46-55)","Seniors (55+)"))))</f>
        <v>Seniors (55+)</v>
      </c>
    </row>
    <row r="124" customFormat="false" ht="15" hidden="false" customHeight="false" outlineLevel="0" collapsed="false">
      <c r="A124" s="19" t="n">
        <v>123</v>
      </c>
      <c r="B124" s="19" t="s">
        <v>161</v>
      </c>
      <c r="C124" s="19" t="s">
        <v>30</v>
      </c>
      <c r="D124" s="19" t="n">
        <v>2</v>
      </c>
      <c r="E124" s="19" t="s">
        <v>150</v>
      </c>
      <c r="F124" s="19" t="s">
        <v>41</v>
      </c>
      <c r="G124" s="19" t="n">
        <v>3</v>
      </c>
      <c r="H124" s="19" t="s">
        <v>19</v>
      </c>
      <c r="I124" s="19" t="s">
        <v>53</v>
      </c>
      <c r="J124" s="19" t="s">
        <v>58</v>
      </c>
      <c r="K124" s="19" t="s">
        <v>177</v>
      </c>
      <c r="L124" s="19" t="n">
        <v>3</v>
      </c>
      <c r="M124" s="19" t="s">
        <v>61</v>
      </c>
      <c r="N124" s="19" t="s">
        <v>153</v>
      </c>
      <c r="O124" s="19" t="s">
        <v>154</v>
      </c>
      <c r="P124" s="19" t="s">
        <v>155</v>
      </c>
      <c r="Q124" s="19" t="s">
        <v>167</v>
      </c>
      <c r="R124" s="19" t="s">
        <v>75</v>
      </c>
      <c r="S124" s="19" t="s">
        <v>69</v>
      </c>
      <c r="T124" s="19" t="s">
        <v>157</v>
      </c>
      <c r="U124" s="19" t="s">
        <v>89</v>
      </c>
      <c r="V124" s="19" t="s">
        <v>164</v>
      </c>
      <c r="W124" s="19" t="s">
        <v>165</v>
      </c>
      <c r="X124" s="19" t="s">
        <v>160</v>
      </c>
      <c r="Y124" s="19" t="s">
        <v>160</v>
      </c>
      <c r="Z124" s="19"/>
      <c r="AA124" s="19" t="s">
        <v>98</v>
      </c>
      <c r="AB124" s="19" t="s">
        <v>99</v>
      </c>
      <c r="AC124" s="19" t="str">
        <f aca="false">IF(H124="Punch","Entry",IF(OR(H124="Nexon",H124="Curvv"),"Compact","Premium"))</f>
        <v>Compact</v>
      </c>
      <c r="AD124" s="19" t="str">
        <f aca="false">IF(C124="18-25","Gen Z (18-25)",IF(C124="26-35","Young professionals (26-35)",IF(C124="36-45","Family builders (36-45)",IF(C124="46-55","Pre-retirement (46-55)","Seniors (55+)"))))</f>
        <v>Young professionals (26-35)</v>
      </c>
    </row>
    <row r="125" customFormat="false" ht="15" hidden="false" customHeight="false" outlineLevel="0" collapsed="false">
      <c r="A125" s="19" t="n">
        <v>124</v>
      </c>
      <c r="B125" s="19" t="s">
        <v>161</v>
      </c>
      <c r="C125" s="19" t="s">
        <v>29</v>
      </c>
      <c r="D125" s="19" t="n">
        <v>1</v>
      </c>
      <c r="E125" s="19" t="s">
        <v>150</v>
      </c>
      <c r="F125" s="19" t="s">
        <v>41</v>
      </c>
      <c r="G125" s="19" t="n">
        <v>3</v>
      </c>
      <c r="H125" s="19" t="s">
        <v>20</v>
      </c>
      <c r="I125" s="19" t="s">
        <v>52</v>
      </c>
      <c r="J125" s="19" t="s">
        <v>151</v>
      </c>
      <c r="K125" s="19" t="s">
        <v>177</v>
      </c>
      <c r="L125" s="19" t="n">
        <v>3</v>
      </c>
      <c r="M125" s="19" t="s">
        <v>61</v>
      </c>
      <c r="N125" s="19" t="s">
        <v>153</v>
      </c>
      <c r="O125" s="19" t="s">
        <v>154</v>
      </c>
      <c r="P125" s="19" t="s">
        <v>155</v>
      </c>
      <c r="Q125" s="19" t="s">
        <v>156</v>
      </c>
      <c r="R125" s="19" t="s">
        <v>77</v>
      </c>
      <c r="S125" s="19" t="s">
        <v>69</v>
      </c>
      <c r="T125" s="19" t="s">
        <v>157</v>
      </c>
      <c r="U125" s="19" t="s">
        <v>89</v>
      </c>
      <c r="V125" s="19" t="s">
        <v>164</v>
      </c>
      <c r="W125" s="19" t="s">
        <v>165</v>
      </c>
      <c r="X125" s="19" t="s">
        <v>160</v>
      </c>
      <c r="Y125" s="19" t="s">
        <v>160</v>
      </c>
      <c r="Z125" s="19"/>
      <c r="AA125" s="19" t="s">
        <v>98</v>
      </c>
      <c r="AB125" s="19" t="s">
        <v>99</v>
      </c>
      <c r="AC125" s="19" t="str">
        <f aca="false">IF(H125="Punch","Entry",IF(OR(H125="Nexon",H125="Curvv"),"Compact","Premium"))</f>
        <v>Entry</v>
      </c>
      <c r="AD125" s="19" t="str">
        <f aca="false">IF(C125="18-25","Gen Z (18-25)",IF(C125="26-35","Young professionals (26-35)",IF(C125="36-45","Family builders (36-45)",IF(C125="46-55","Pre-retirement (46-55)","Seniors (55+)"))))</f>
        <v>Gen Z (18-25)</v>
      </c>
    </row>
    <row r="126" customFormat="false" ht="15" hidden="false" customHeight="false" outlineLevel="0" collapsed="false">
      <c r="A126" s="19" t="n">
        <v>125</v>
      </c>
      <c r="B126" s="19" t="s">
        <v>161</v>
      </c>
      <c r="C126" s="19" t="s">
        <v>30</v>
      </c>
      <c r="D126" s="19" t="n">
        <v>2</v>
      </c>
      <c r="E126" s="19" t="s">
        <v>150</v>
      </c>
      <c r="F126" s="19" t="s">
        <v>41</v>
      </c>
      <c r="G126" s="19" t="n">
        <v>3</v>
      </c>
      <c r="H126" s="19" t="s">
        <v>20</v>
      </c>
      <c r="I126" s="19" t="s">
        <v>53</v>
      </c>
      <c r="J126" s="19" t="s">
        <v>58</v>
      </c>
      <c r="K126" s="19" t="s">
        <v>177</v>
      </c>
      <c r="L126" s="19" t="n">
        <v>3</v>
      </c>
      <c r="M126" s="19" t="s">
        <v>61</v>
      </c>
      <c r="N126" s="19" t="s">
        <v>153</v>
      </c>
      <c r="O126" s="19" t="s">
        <v>154</v>
      </c>
      <c r="P126" s="19" t="s">
        <v>155</v>
      </c>
      <c r="Q126" s="19" t="s">
        <v>167</v>
      </c>
      <c r="R126" s="19" t="s">
        <v>77</v>
      </c>
      <c r="S126" s="19" t="s">
        <v>69</v>
      </c>
      <c r="T126" s="19" t="s">
        <v>157</v>
      </c>
      <c r="U126" s="19" t="s">
        <v>89</v>
      </c>
      <c r="V126" s="19" t="s">
        <v>164</v>
      </c>
      <c r="W126" s="19" t="s">
        <v>165</v>
      </c>
      <c r="X126" s="19" t="s">
        <v>160</v>
      </c>
      <c r="Y126" s="19" t="s">
        <v>160</v>
      </c>
      <c r="Z126" s="19"/>
      <c r="AA126" s="19" t="s">
        <v>100</v>
      </c>
      <c r="AB126" s="19" t="s">
        <v>101</v>
      </c>
      <c r="AC126" s="19" t="str">
        <f aca="false">IF(H126="Punch","Entry",IF(OR(H126="Nexon",H126="Curvv"),"Compact","Premium"))</f>
        <v>Entry</v>
      </c>
      <c r="AD126" s="19" t="str">
        <f aca="false">IF(C126="18-25","Gen Z (18-25)",IF(C126="26-35","Young professionals (26-35)",IF(C126="36-45","Family builders (36-45)",IF(C126="46-55","Pre-retirement (46-55)","Seniors (55+)"))))</f>
        <v>Young professionals (26-35)</v>
      </c>
    </row>
    <row r="127" customFormat="false" ht="15" hidden="false" customHeight="false" outlineLevel="0" collapsed="false">
      <c r="A127" s="19" t="n">
        <v>126</v>
      </c>
      <c r="B127" s="19" t="s">
        <v>161</v>
      </c>
      <c r="C127" s="19" t="s">
        <v>30</v>
      </c>
      <c r="D127" s="19" t="n">
        <v>2</v>
      </c>
      <c r="E127" s="19" t="s">
        <v>150</v>
      </c>
      <c r="F127" s="19" t="s">
        <v>41</v>
      </c>
      <c r="G127" s="19" t="n">
        <v>3</v>
      </c>
      <c r="H127" s="19" t="s">
        <v>20</v>
      </c>
      <c r="I127" s="19" t="s">
        <v>51</v>
      </c>
      <c r="J127" s="19" t="s">
        <v>151</v>
      </c>
      <c r="K127" s="19" t="s">
        <v>172</v>
      </c>
      <c r="L127" s="19" t="n">
        <v>2</v>
      </c>
      <c r="M127" s="19" t="s">
        <v>61</v>
      </c>
      <c r="N127" s="19" t="s">
        <v>153</v>
      </c>
      <c r="O127" s="19" t="s">
        <v>169</v>
      </c>
      <c r="P127" s="19" t="s">
        <v>170</v>
      </c>
      <c r="Q127" s="19" t="s">
        <v>171</v>
      </c>
      <c r="R127" s="19" t="s">
        <v>76</v>
      </c>
      <c r="S127" s="19" t="s">
        <v>69</v>
      </c>
      <c r="T127" s="19" t="s">
        <v>157</v>
      </c>
      <c r="U127" s="19" t="s">
        <v>89</v>
      </c>
      <c r="V127" s="19" t="s">
        <v>164</v>
      </c>
      <c r="W127" s="19" t="s">
        <v>165</v>
      </c>
      <c r="X127" s="19" t="s">
        <v>160</v>
      </c>
      <c r="Y127" s="19" t="s">
        <v>160</v>
      </c>
      <c r="Z127" s="19"/>
      <c r="AA127" s="19" t="s">
        <v>100</v>
      </c>
      <c r="AB127" s="19" t="s">
        <v>101</v>
      </c>
      <c r="AC127" s="19" t="str">
        <f aca="false">IF(H127="Punch","Entry",IF(OR(H127="Nexon",H127="Curvv"),"Compact","Premium"))</f>
        <v>Entry</v>
      </c>
      <c r="AD127" s="19" t="str">
        <f aca="false">IF(C127="18-25","Gen Z (18-25)",IF(C127="26-35","Young professionals (26-35)",IF(C127="36-45","Family builders (36-45)",IF(C127="46-55","Pre-retirement (46-55)","Seniors (55+)"))))</f>
        <v>Young professionals (26-35)</v>
      </c>
    </row>
    <row r="128" customFormat="false" ht="15" hidden="false" customHeight="false" outlineLevel="0" collapsed="false">
      <c r="A128" s="19" t="n">
        <v>127</v>
      </c>
      <c r="B128" s="19" t="s">
        <v>161</v>
      </c>
      <c r="C128" s="19" t="s">
        <v>30</v>
      </c>
      <c r="D128" s="19" t="n">
        <v>2</v>
      </c>
      <c r="E128" s="19" t="s">
        <v>150</v>
      </c>
      <c r="F128" s="19" t="s">
        <v>40</v>
      </c>
      <c r="G128" s="19" t="n">
        <v>2</v>
      </c>
      <c r="H128" s="19" t="s">
        <v>19</v>
      </c>
      <c r="I128" s="19" t="s">
        <v>51</v>
      </c>
      <c r="J128" s="19" t="s">
        <v>151</v>
      </c>
      <c r="K128" s="19" t="s">
        <v>177</v>
      </c>
      <c r="L128" s="19" t="n">
        <v>3</v>
      </c>
      <c r="M128" s="19" t="s">
        <v>61</v>
      </c>
      <c r="N128" s="19" t="s">
        <v>153</v>
      </c>
      <c r="O128" s="19" t="s">
        <v>169</v>
      </c>
      <c r="P128" s="19" t="s">
        <v>170</v>
      </c>
      <c r="Q128" s="19" t="s">
        <v>171</v>
      </c>
      <c r="R128" s="19" t="s">
        <v>76</v>
      </c>
      <c r="S128" s="19" t="s">
        <v>69</v>
      </c>
      <c r="T128" s="19" t="s">
        <v>157</v>
      </c>
      <c r="U128" s="19" t="s">
        <v>89</v>
      </c>
      <c r="V128" s="19" t="s">
        <v>164</v>
      </c>
      <c r="W128" s="19" t="s">
        <v>165</v>
      </c>
      <c r="X128" s="19" t="s">
        <v>160</v>
      </c>
      <c r="Y128" s="19" t="s">
        <v>160</v>
      </c>
      <c r="Z128" s="19"/>
      <c r="AA128" s="19" t="s">
        <v>100</v>
      </c>
      <c r="AB128" s="19" t="s">
        <v>101</v>
      </c>
      <c r="AC128" s="19" t="str">
        <f aca="false">IF(H128="Punch","Entry",IF(OR(H128="Nexon",H128="Curvv"),"Compact","Premium"))</f>
        <v>Compact</v>
      </c>
      <c r="AD128" s="19" t="str">
        <f aca="false">IF(C128="18-25","Gen Z (18-25)",IF(C128="26-35","Young professionals (26-35)",IF(C128="36-45","Family builders (36-45)",IF(C128="46-55","Pre-retirement (46-55)","Seniors (55+)"))))</f>
        <v>Young professionals (26-35)</v>
      </c>
    </row>
    <row r="129" customFormat="false" ht="15" hidden="false" customHeight="false" outlineLevel="0" collapsed="false">
      <c r="A129" s="19" t="n">
        <v>128</v>
      </c>
      <c r="B129" s="19" t="s">
        <v>161</v>
      </c>
      <c r="C129" s="19" t="s">
        <v>33</v>
      </c>
      <c r="D129" s="19" t="n">
        <v>5</v>
      </c>
      <c r="E129" s="19" t="s">
        <v>182</v>
      </c>
      <c r="F129" s="19" t="s">
        <v>40</v>
      </c>
      <c r="G129" s="19" t="n">
        <v>2</v>
      </c>
      <c r="H129" s="19" t="s">
        <v>19</v>
      </c>
      <c r="I129" s="19" t="s">
        <v>51</v>
      </c>
      <c r="J129" s="19" t="s">
        <v>151</v>
      </c>
      <c r="K129" s="19" t="s">
        <v>177</v>
      </c>
      <c r="L129" s="19" t="n">
        <v>3</v>
      </c>
      <c r="M129" s="19" t="s">
        <v>61</v>
      </c>
      <c r="N129" s="19" t="s">
        <v>153</v>
      </c>
      <c r="O129" s="19" t="s">
        <v>169</v>
      </c>
      <c r="P129" s="19" t="s">
        <v>170</v>
      </c>
      <c r="Q129" s="19" t="s">
        <v>171</v>
      </c>
      <c r="R129" s="19" t="s">
        <v>77</v>
      </c>
      <c r="S129" s="19" t="s">
        <v>71</v>
      </c>
      <c r="T129" s="19" t="s">
        <v>157</v>
      </c>
      <c r="U129" s="19" t="s">
        <v>89</v>
      </c>
      <c r="V129" s="19" t="s">
        <v>164</v>
      </c>
      <c r="W129" s="19" t="s">
        <v>165</v>
      </c>
      <c r="X129" s="19" t="s">
        <v>160</v>
      </c>
      <c r="Y129" s="19" t="s">
        <v>160</v>
      </c>
      <c r="Z129" s="19"/>
      <c r="AA129" s="19" t="s">
        <v>105</v>
      </c>
      <c r="AB129" s="19" t="s">
        <v>101</v>
      </c>
      <c r="AC129" s="19" t="str">
        <f aca="false">IF(H129="Punch","Entry",IF(OR(H129="Nexon",H129="Curvv"),"Compact","Premium"))</f>
        <v>Compact</v>
      </c>
      <c r="AD129" s="19" t="str">
        <f aca="false">IF(C129="18-25","Gen Z (18-25)",IF(C129="26-35","Young professionals (26-35)",IF(C129="36-45","Family builders (36-45)",IF(C129="46-55","Pre-retirement (46-55)","Seniors (55+)"))))</f>
        <v>Seniors (55+)</v>
      </c>
    </row>
    <row r="130" customFormat="false" ht="15" hidden="false" customHeight="false" outlineLevel="0" collapsed="false">
      <c r="A130" s="19" t="n">
        <v>129</v>
      </c>
      <c r="B130" s="19" t="s">
        <v>161</v>
      </c>
      <c r="C130" s="19" t="s">
        <v>30</v>
      </c>
      <c r="D130" s="19" t="n">
        <v>2</v>
      </c>
      <c r="E130" s="19" t="s">
        <v>150</v>
      </c>
      <c r="F130" s="19" t="s">
        <v>40</v>
      </c>
      <c r="G130" s="19" t="n">
        <v>2</v>
      </c>
      <c r="H130" s="19" t="s">
        <v>19</v>
      </c>
      <c r="I130" s="19" t="s">
        <v>51</v>
      </c>
      <c r="J130" s="19" t="s">
        <v>151</v>
      </c>
      <c r="K130" s="19" t="s">
        <v>177</v>
      </c>
      <c r="L130" s="19" t="n">
        <v>3</v>
      </c>
      <c r="M130" s="19" t="s">
        <v>61</v>
      </c>
      <c r="N130" s="19" t="s">
        <v>153</v>
      </c>
      <c r="O130" s="19" t="s">
        <v>169</v>
      </c>
      <c r="P130" s="19" t="s">
        <v>170</v>
      </c>
      <c r="Q130" s="19" t="s">
        <v>171</v>
      </c>
      <c r="R130" s="19" t="s">
        <v>76</v>
      </c>
      <c r="S130" s="19" t="s">
        <v>69</v>
      </c>
      <c r="T130" s="19" t="s">
        <v>157</v>
      </c>
      <c r="U130" s="19" t="s">
        <v>89</v>
      </c>
      <c r="V130" s="19" t="s">
        <v>164</v>
      </c>
      <c r="W130" s="19" t="s">
        <v>165</v>
      </c>
      <c r="X130" s="19" t="s">
        <v>160</v>
      </c>
      <c r="Y130" s="19" t="s">
        <v>160</v>
      </c>
      <c r="Z130" s="19"/>
      <c r="AA130" s="19" t="s">
        <v>105</v>
      </c>
      <c r="AB130" s="19" t="s">
        <v>101</v>
      </c>
      <c r="AC130" s="19" t="str">
        <f aca="false">IF(H130="Punch","Entry",IF(OR(H130="Nexon",H130="Curvv"),"Compact","Premium"))</f>
        <v>Compact</v>
      </c>
      <c r="AD130" s="19" t="str">
        <f aca="false">IF(C130="18-25","Gen Z (18-25)",IF(C130="26-35","Young professionals (26-35)",IF(C130="36-45","Family builders (36-45)",IF(C130="46-55","Pre-retirement (46-55)","Seniors (55+)"))))</f>
        <v>Young professionals (26-35)</v>
      </c>
    </row>
    <row r="131" customFormat="false" ht="15" hidden="false" customHeight="false" outlineLevel="0" collapsed="false">
      <c r="A131" s="19" t="n">
        <v>130</v>
      </c>
      <c r="B131" s="19" t="s">
        <v>161</v>
      </c>
      <c r="C131" s="19" t="s">
        <v>30</v>
      </c>
      <c r="D131" s="19" t="n">
        <v>2</v>
      </c>
      <c r="E131" s="19" t="s">
        <v>150</v>
      </c>
      <c r="F131" s="19" t="s">
        <v>40</v>
      </c>
      <c r="G131" s="19" t="n">
        <v>2</v>
      </c>
      <c r="H131" s="19" t="s">
        <v>19</v>
      </c>
      <c r="I131" s="19" t="s">
        <v>51</v>
      </c>
      <c r="J131" s="19" t="s">
        <v>151</v>
      </c>
      <c r="K131" s="19" t="s">
        <v>177</v>
      </c>
      <c r="L131" s="19" t="n">
        <v>3</v>
      </c>
      <c r="M131" s="19" t="s">
        <v>61</v>
      </c>
      <c r="N131" s="19" t="s">
        <v>153</v>
      </c>
      <c r="O131" s="19" t="s">
        <v>169</v>
      </c>
      <c r="P131" s="19" t="s">
        <v>170</v>
      </c>
      <c r="Q131" s="19" t="s">
        <v>171</v>
      </c>
      <c r="R131" s="19" t="s">
        <v>76</v>
      </c>
      <c r="S131" s="19" t="s">
        <v>69</v>
      </c>
      <c r="T131" s="19" t="s">
        <v>168</v>
      </c>
      <c r="U131" s="19" t="s">
        <v>89</v>
      </c>
      <c r="V131" s="19" t="s">
        <v>164</v>
      </c>
      <c r="W131" s="19" t="s">
        <v>165</v>
      </c>
      <c r="X131" s="19" t="s">
        <v>160</v>
      </c>
      <c r="Y131" s="19" t="s">
        <v>160</v>
      </c>
      <c r="Z131" s="19"/>
      <c r="AA131" s="19" t="s">
        <v>98</v>
      </c>
      <c r="AB131" s="19" t="s">
        <v>99</v>
      </c>
      <c r="AC131" s="19" t="str">
        <f aca="false">IF(H131="Punch","Entry",IF(OR(H131="Nexon",H131="Curvv"),"Compact","Premium"))</f>
        <v>Compact</v>
      </c>
      <c r="AD131" s="19" t="str">
        <f aca="false">IF(C131="18-25","Gen Z (18-25)",IF(C131="26-35","Young professionals (26-35)",IF(C131="36-45","Family builders (36-45)",IF(C131="46-55","Pre-retirement (46-55)","Seniors (55+)"))))</f>
        <v>Young professionals (26-35)</v>
      </c>
    </row>
    <row r="132" customFormat="false" ht="15" hidden="false" customHeight="false" outlineLevel="0" collapsed="false">
      <c r="A132" s="19" t="n">
        <v>131</v>
      </c>
      <c r="B132" s="19" t="s">
        <v>161</v>
      </c>
      <c r="C132" s="19" t="s">
        <v>30</v>
      </c>
      <c r="D132" s="19" t="n">
        <v>2</v>
      </c>
      <c r="E132" s="19" t="s">
        <v>150</v>
      </c>
      <c r="F132" s="19" t="s">
        <v>40</v>
      </c>
      <c r="G132" s="19" t="n">
        <v>2</v>
      </c>
      <c r="H132" s="19" t="s">
        <v>19</v>
      </c>
      <c r="I132" s="19" t="s">
        <v>51</v>
      </c>
      <c r="J132" s="19" t="s">
        <v>151</v>
      </c>
      <c r="K132" s="19" t="s">
        <v>177</v>
      </c>
      <c r="L132" s="19" t="n">
        <v>3</v>
      </c>
      <c r="M132" s="19" t="s">
        <v>61</v>
      </c>
      <c r="N132" s="19" t="s">
        <v>153</v>
      </c>
      <c r="O132" s="19" t="s">
        <v>169</v>
      </c>
      <c r="P132" s="19" t="s">
        <v>170</v>
      </c>
      <c r="Q132" s="19" t="s">
        <v>171</v>
      </c>
      <c r="R132" s="19" t="s">
        <v>75</v>
      </c>
      <c r="S132" s="19" t="s">
        <v>69</v>
      </c>
      <c r="T132" s="19" t="s">
        <v>157</v>
      </c>
      <c r="U132" s="19" t="s">
        <v>89</v>
      </c>
      <c r="V132" s="19" t="s">
        <v>164</v>
      </c>
      <c r="W132" s="19" t="s">
        <v>165</v>
      </c>
      <c r="X132" s="19" t="s">
        <v>160</v>
      </c>
      <c r="Y132" s="19" t="s">
        <v>160</v>
      </c>
      <c r="Z132" s="19"/>
      <c r="AA132" s="19" t="s">
        <v>98</v>
      </c>
      <c r="AB132" s="19" t="s">
        <v>99</v>
      </c>
      <c r="AC132" s="19" t="str">
        <f aca="false">IF(H132="Punch","Entry",IF(OR(H132="Nexon",H132="Curvv"),"Compact","Premium"))</f>
        <v>Compact</v>
      </c>
      <c r="AD132" s="19" t="str">
        <f aca="false">IF(C132="18-25","Gen Z (18-25)",IF(C132="26-35","Young professionals (26-35)",IF(C132="36-45","Family builders (36-45)",IF(C132="46-55","Pre-retirement (46-55)","Seniors (55+)"))))</f>
        <v>Young professionals (26-35)</v>
      </c>
    </row>
    <row r="133" customFormat="false" ht="15" hidden="false" customHeight="false" outlineLevel="0" collapsed="false">
      <c r="A133" s="19" t="n">
        <v>132</v>
      </c>
      <c r="B133" s="19" t="s">
        <v>161</v>
      </c>
      <c r="C133" s="19" t="s">
        <v>30</v>
      </c>
      <c r="D133" s="19" t="n">
        <v>2</v>
      </c>
      <c r="E133" s="19" t="s">
        <v>150</v>
      </c>
      <c r="F133" s="19" t="s">
        <v>40</v>
      </c>
      <c r="G133" s="19" t="n">
        <v>2</v>
      </c>
      <c r="H133" s="19" t="s">
        <v>19</v>
      </c>
      <c r="I133" s="19" t="s">
        <v>51</v>
      </c>
      <c r="J133" s="19" t="s">
        <v>151</v>
      </c>
      <c r="K133" s="19" t="s">
        <v>177</v>
      </c>
      <c r="L133" s="19" t="n">
        <v>3</v>
      </c>
      <c r="M133" s="19" t="s">
        <v>61</v>
      </c>
      <c r="N133" s="19" t="s">
        <v>153</v>
      </c>
      <c r="O133" s="19" t="s">
        <v>169</v>
      </c>
      <c r="P133" s="19" t="s">
        <v>170</v>
      </c>
      <c r="Q133" s="19" t="s">
        <v>171</v>
      </c>
      <c r="R133" s="19" t="s">
        <v>75</v>
      </c>
      <c r="S133" s="19" t="s">
        <v>69</v>
      </c>
      <c r="T133" s="19" t="s">
        <v>168</v>
      </c>
      <c r="U133" s="19" t="s">
        <v>89</v>
      </c>
      <c r="V133" s="19" t="s">
        <v>164</v>
      </c>
      <c r="W133" s="19" t="s">
        <v>165</v>
      </c>
      <c r="X133" s="19" t="s">
        <v>160</v>
      </c>
      <c r="Y133" s="19" t="s">
        <v>160</v>
      </c>
      <c r="Z133" s="19"/>
      <c r="AA133" s="19" t="s">
        <v>105</v>
      </c>
      <c r="AB133" s="19" t="s">
        <v>101</v>
      </c>
      <c r="AC133" s="19" t="str">
        <f aca="false">IF(H133="Punch","Entry",IF(OR(H133="Nexon",H133="Curvv"),"Compact","Premium"))</f>
        <v>Compact</v>
      </c>
      <c r="AD133" s="19" t="str">
        <f aca="false">IF(C133="18-25","Gen Z (18-25)",IF(C133="26-35","Young professionals (26-35)",IF(C133="36-45","Family builders (36-45)",IF(C133="46-55","Pre-retirement (46-55)","Seniors (55+)"))))</f>
        <v>Young professionals (26-35)</v>
      </c>
    </row>
    <row r="134" customFormat="false" ht="15" hidden="false" customHeight="false" outlineLevel="0" collapsed="false">
      <c r="A134" s="19" t="n">
        <v>133</v>
      </c>
      <c r="B134" s="19" t="s">
        <v>161</v>
      </c>
      <c r="C134" s="19" t="s">
        <v>30</v>
      </c>
      <c r="D134" s="19" t="n">
        <v>2</v>
      </c>
      <c r="E134" s="19" t="s">
        <v>150</v>
      </c>
      <c r="F134" s="19" t="s">
        <v>40</v>
      </c>
      <c r="G134" s="19" t="n">
        <v>2</v>
      </c>
      <c r="H134" s="19" t="s">
        <v>19</v>
      </c>
      <c r="I134" s="19" t="s">
        <v>51</v>
      </c>
      <c r="J134" s="19" t="s">
        <v>151</v>
      </c>
      <c r="K134" s="19" t="s">
        <v>177</v>
      </c>
      <c r="L134" s="19" t="n">
        <v>3</v>
      </c>
      <c r="M134" s="19" t="s">
        <v>61</v>
      </c>
      <c r="N134" s="19" t="s">
        <v>153</v>
      </c>
      <c r="O134" s="19" t="s">
        <v>169</v>
      </c>
      <c r="P134" s="19" t="s">
        <v>170</v>
      </c>
      <c r="Q134" s="19" t="s">
        <v>171</v>
      </c>
      <c r="R134" s="19" t="s">
        <v>75</v>
      </c>
      <c r="S134" s="19" t="s">
        <v>69</v>
      </c>
      <c r="T134" s="19" t="s">
        <v>157</v>
      </c>
      <c r="U134" s="19" t="s">
        <v>89</v>
      </c>
      <c r="V134" s="19" t="s">
        <v>164</v>
      </c>
      <c r="W134" s="19" t="s">
        <v>165</v>
      </c>
      <c r="X134" s="19" t="s">
        <v>160</v>
      </c>
      <c r="Y134" s="19" t="s">
        <v>160</v>
      </c>
      <c r="Z134" s="19"/>
      <c r="AA134" s="19" t="s">
        <v>100</v>
      </c>
      <c r="AB134" s="19" t="s">
        <v>101</v>
      </c>
      <c r="AC134" s="19" t="str">
        <f aca="false">IF(H134="Punch","Entry",IF(OR(H134="Nexon",H134="Curvv"),"Compact","Premium"))</f>
        <v>Compact</v>
      </c>
      <c r="AD134" s="19" t="str">
        <f aca="false">IF(C134="18-25","Gen Z (18-25)",IF(C134="26-35","Young professionals (26-35)",IF(C134="36-45","Family builders (36-45)",IF(C134="46-55","Pre-retirement (46-55)","Seniors (55+)"))))</f>
        <v>Young professionals (26-35)</v>
      </c>
    </row>
    <row r="135" customFormat="false" ht="15" hidden="false" customHeight="false" outlineLevel="0" collapsed="false">
      <c r="A135" s="19" t="n">
        <v>134</v>
      </c>
      <c r="B135" s="19" t="s">
        <v>161</v>
      </c>
      <c r="C135" s="19" t="s">
        <v>30</v>
      </c>
      <c r="D135" s="19" t="n">
        <v>2</v>
      </c>
      <c r="E135" s="19" t="s">
        <v>150</v>
      </c>
      <c r="F135" s="19" t="s">
        <v>40</v>
      </c>
      <c r="G135" s="19" t="n">
        <v>2</v>
      </c>
      <c r="H135" s="19" t="s">
        <v>19</v>
      </c>
      <c r="I135" s="19" t="s">
        <v>51</v>
      </c>
      <c r="J135" s="19" t="s">
        <v>151</v>
      </c>
      <c r="K135" s="19" t="s">
        <v>177</v>
      </c>
      <c r="L135" s="19" t="n">
        <v>3</v>
      </c>
      <c r="M135" s="19" t="s">
        <v>61</v>
      </c>
      <c r="N135" s="19" t="s">
        <v>153</v>
      </c>
      <c r="O135" s="19" t="s">
        <v>169</v>
      </c>
      <c r="P135" s="19" t="s">
        <v>170</v>
      </c>
      <c r="Q135" s="19" t="s">
        <v>171</v>
      </c>
      <c r="R135" s="19" t="s">
        <v>77</v>
      </c>
      <c r="S135" s="19" t="s">
        <v>69</v>
      </c>
      <c r="T135" s="19" t="s">
        <v>157</v>
      </c>
      <c r="U135" s="19" t="s">
        <v>89</v>
      </c>
      <c r="V135" s="19" t="s">
        <v>164</v>
      </c>
      <c r="W135" s="19" t="s">
        <v>165</v>
      </c>
      <c r="X135" s="19" t="s">
        <v>160</v>
      </c>
      <c r="Y135" s="19" t="s">
        <v>160</v>
      </c>
      <c r="Z135" s="19"/>
      <c r="AA135" s="19" t="s">
        <v>105</v>
      </c>
      <c r="AB135" s="19" t="s">
        <v>101</v>
      </c>
      <c r="AC135" s="19" t="str">
        <f aca="false">IF(H135="Punch","Entry",IF(OR(H135="Nexon",H135="Curvv"),"Compact","Premium"))</f>
        <v>Compact</v>
      </c>
      <c r="AD135" s="19" t="str">
        <f aca="false">IF(C135="18-25","Gen Z (18-25)",IF(C135="26-35","Young professionals (26-35)",IF(C135="36-45","Family builders (36-45)",IF(C135="46-55","Pre-retirement (46-55)","Seniors (55+)"))))</f>
        <v>Young professionals (26-35)</v>
      </c>
    </row>
    <row r="136" customFormat="false" ht="15" hidden="false" customHeight="false" outlineLevel="0" collapsed="false">
      <c r="A136" s="19" t="n">
        <v>135</v>
      </c>
      <c r="B136" s="19" t="s">
        <v>161</v>
      </c>
      <c r="C136" s="19" t="s">
        <v>30</v>
      </c>
      <c r="D136" s="19" t="n">
        <v>2</v>
      </c>
      <c r="E136" s="19" t="s">
        <v>150</v>
      </c>
      <c r="F136" s="19" t="s">
        <v>40</v>
      </c>
      <c r="G136" s="19" t="n">
        <v>2</v>
      </c>
      <c r="H136" s="19" t="s">
        <v>19</v>
      </c>
      <c r="I136" s="19" t="s">
        <v>51</v>
      </c>
      <c r="J136" s="19" t="s">
        <v>151</v>
      </c>
      <c r="K136" s="19" t="s">
        <v>177</v>
      </c>
      <c r="L136" s="19" t="n">
        <v>3</v>
      </c>
      <c r="M136" s="19" t="s">
        <v>61</v>
      </c>
      <c r="N136" s="19" t="s">
        <v>153</v>
      </c>
      <c r="O136" s="19" t="s">
        <v>169</v>
      </c>
      <c r="P136" s="19" t="s">
        <v>170</v>
      </c>
      <c r="Q136" s="19" t="s">
        <v>171</v>
      </c>
      <c r="R136" s="19" t="s">
        <v>76</v>
      </c>
      <c r="S136" s="19" t="s">
        <v>71</v>
      </c>
      <c r="T136" s="19" t="s">
        <v>157</v>
      </c>
      <c r="U136" s="19" t="s">
        <v>89</v>
      </c>
      <c r="V136" s="19" t="s">
        <v>164</v>
      </c>
      <c r="W136" s="19" t="s">
        <v>165</v>
      </c>
      <c r="X136" s="19" t="s">
        <v>160</v>
      </c>
      <c r="Y136" s="19" t="s">
        <v>160</v>
      </c>
      <c r="Z136" s="19"/>
      <c r="AA136" s="19" t="s">
        <v>100</v>
      </c>
      <c r="AB136" s="19" t="s">
        <v>101</v>
      </c>
      <c r="AC136" s="19" t="str">
        <f aca="false">IF(H136="Punch","Entry",IF(OR(H136="Nexon",H136="Curvv"),"Compact","Premium"))</f>
        <v>Compact</v>
      </c>
      <c r="AD136" s="19" t="str">
        <f aca="false">IF(C136="18-25","Gen Z (18-25)",IF(C136="26-35","Young professionals (26-35)",IF(C136="36-45","Family builders (36-45)",IF(C136="46-55","Pre-retirement (46-55)","Seniors (55+)"))))</f>
        <v>Young professionals (26-35)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9.7" hidden="false" customHeight="false" outlineLevel="0" collapsed="false">
      <c r="B1" s="1" t="s">
        <v>183</v>
      </c>
    </row>
    <row r="3" customFormat="false" ht="15" hidden="false" customHeight="false" outlineLevel="0" collapsed="false">
      <c r="B3" s="7" t="s">
        <v>184</v>
      </c>
    </row>
    <row r="4" customFormat="false" ht="15" hidden="false" customHeight="false" outlineLevel="0" collapsed="false">
      <c r="B4" s="22" t="s">
        <v>185</v>
      </c>
    </row>
    <row r="5" customFormat="false" ht="15" hidden="false" customHeight="false" outlineLevel="0" collapsed="false">
      <c r="B5" s="22" t="s">
        <v>186</v>
      </c>
    </row>
    <row r="6" customFormat="false" ht="15" hidden="false" customHeight="false" outlineLevel="0" collapsed="false">
      <c r="B6" s="22" t="s">
        <v>187</v>
      </c>
    </row>
    <row r="7" customFormat="false" ht="15" hidden="false" customHeight="false" outlineLevel="0" collapsed="false">
      <c r="B7" s="22" t="s">
        <v>188</v>
      </c>
    </row>
    <row r="8" customFormat="false" ht="15" hidden="false" customHeight="false" outlineLevel="0" collapsed="false">
      <c r="B8" s="7" t="s">
        <v>189</v>
      </c>
    </row>
    <row r="9" customFormat="false" ht="15" hidden="false" customHeight="false" outlineLevel="0" collapsed="false">
      <c r="B9" s="22" t="s">
        <v>190</v>
      </c>
    </row>
    <row r="10" customFormat="false" ht="15" hidden="false" customHeight="false" outlineLevel="0" collapsed="false">
      <c r="B10" s="22" t="s">
        <v>191</v>
      </c>
    </row>
    <row r="11" customFormat="false" ht="23.85" hidden="false" customHeight="false" outlineLevel="0" collapsed="false">
      <c r="B11" s="22" t="s">
        <v>192</v>
      </c>
    </row>
    <row r="12" customFormat="false" ht="15" hidden="false" customHeight="false" outlineLevel="0" collapsed="false">
      <c r="B12" s="22" t="s">
        <v>193</v>
      </c>
    </row>
    <row r="13" customFormat="false" ht="15" hidden="false" customHeight="false" outlineLevel="0" collapsed="false">
      <c r="B13" s="22" t="s">
        <v>194</v>
      </c>
    </row>
    <row r="14" customFormat="false" ht="15" hidden="false" customHeight="false" outlineLevel="0" collapsed="false">
      <c r="B14" s="7" t="s">
        <v>195</v>
      </c>
    </row>
    <row r="15" customFormat="false" ht="15" hidden="false" customHeight="false" outlineLevel="0" collapsed="false">
      <c r="B15" s="22" t="s">
        <v>196</v>
      </c>
    </row>
    <row r="16" customFormat="false" ht="23.85" hidden="false" customHeight="false" outlineLevel="0" collapsed="false">
      <c r="B16" s="22" t="s">
        <v>197</v>
      </c>
    </row>
    <row r="17" customFormat="false" ht="15" hidden="false" customHeight="false" outlineLevel="0" collapsed="false">
      <c r="B17" s="22" t="s">
        <v>198</v>
      </c>
    </row>
    <row r="18" customFormat="false" ht="15" hidden="false" customHeight="false" outlineLevel="0" collapsed="false">
      <c r="B18" s="22" t="s">
        <v>199</v>
      </c>
    </row>
    <row r="19" customFormat="false" ht="15" hidden="false" customHeight="false" outlineLevel="0" collapsed="false">
      <c r="B19" s="22" t="s">
        <v>200</v>
      </c>
    </row>
    <row r="20" customFormat="false" ht="15" hidden="false" customHeight="false" outlineLevel="0" collapsed="false">
      <c r="B20" s="22" t="s">
        <v>201</v>
      </c>
    </row>
    <row r="21" customFormat="false" ht="15" hidden="false" customHeight="false" outlineLevel="0" collapsed="false">
      <c r="B21" s="7" t="s">
        <v>202</v>
      </c>
    </row>
    <row r="22" customFormat="false" ht="15" hidden="false" customHeight="false" outlineLevel="0" collapsed="false">
      <c r="B22" s="2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2026-09-28T10:21:55Z</dcterms:created>
  <dc:creator>openpyxl</dc:creator>
  <dc:description/>
  <dc:language>en-US</dc:language>
  <cp:lastModifiedBy/>
  <dcterms:modified xsi:type="dcterms:W3CDTF">2026-09-28T10:21:57Z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